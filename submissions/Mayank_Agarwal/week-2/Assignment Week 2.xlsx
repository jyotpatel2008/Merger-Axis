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052aa9e21a3104f6/Desktop/Summer Projects/Merger_Axis/"/>
    </mc:Choice>
  </mc:AlternateContent>
  <xr:revisionPtr revIDLastSave="4" documentId="13_ncr:1_{C39EC4C5-A82E-4B31-AF2E-2DD87D92FB77}" xr6:coauthVersionLast="47" xr6:coauthVersionMax="47" xr10:uidLastSave="{FF0629AD-A468-421C-868B-6C77906E50C1}"/>
  <bookViews>
    <workbookView xWindow="-108" yWindow="-108" windowWidth="23256" windowHeight="12456" xr2:uid="{00000000-000D-0000-FFFF-FFFF00000000}"/>
  </bookViews>
  <sheets>
    <sheet name="SunPharm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1" i="1" l="1"/>
  <c r="C151" i="1"/>
  <c r="B151" i="1"/>
  <c r="D150" i="1"/>
  <c r="C150" i="1"/>
  <c r="B150" i="1"/>
  <c r="D149" i="1"/>
  <c r="C149" i="1"/>
  <c r="B149" i="1"/>
  <c r="B148" i="1"/>
  <c r="D148" i="1"/>
  <c r="C148" i="1"/>
  <c r="C141" i="1"/>
  <c r="D131" i="1"/>
  <c r="C131" i="1"/>
  <c r="B131" i="1"/>
  <c r="D122" i="1"/>
  <c r="C122" i="1"/>
  <c r="B122" i="1"/>
  <c r="D101" i="1"/>
  <c r="D109" i="1" s="1"/>
  <c r="D111" i="1" s="1"/>
  <c r="C101" i="1"/>
  <c r="C109" i="1" s="1"/>
  <c r="C111" i="1" s="1"/>
  <c r="B101" i="1"/>
  <c r="B109" i="1" s="1"/>
  <c r="B111" i="1" s="1"/>
  <c r="D88" i="1"/>
  <c r="C88" i="1"/>
  <c r="C140" i="1" s="1"/>
  <c r="B88" i="1"/>
  <c r="B140" i="1" s="1"/>
  <c r="D78" i="1"/>
  <c r="C78" i="1"/>
  <c r="B78" i="1"/>
  <c r="D65" i="1"/>
  <c r="D67" i="1" s="1"/>
  <c r="D146" i="1" s="1"/>
  <c r="C65" i="1"/>
  <c r="C67" i="1" s="1"/>
  <c r="C146" i="1" s="1"/>
  <c r="B65" i="1"/>
  <c r="B67" i="1" s="1"/>
  <c r="B146" i="1" s="1"/>
  <c r="D57" i="1"/>
  <c r="C57" i="1"/>
  <c r="B57" i="1"/>
  <c r="D46" i="1"/>
  <c r="C46" i="1"/>
  <c r="C59" i="1" s="1"/>
  <c r="B46" i="1"/>
  <c r="B59" i="1" s="1"/>
  <c r="C25" i="1"/>
  <c r="B25" i="1"/>
  <c r="D25" i="1"/>
  <c r="D14" i="1"/>
  <c r="C14" i="1"/>
  <c r="B14" i="1"/>
  <c r="B6" i="1"/>
  <c r="D6" i="1"/>
  <c r="C6" i="1"/>
  <c r="D140" i="1" l="1"/>
  <c r="D141" i="1"/>
  <c r="D143" i="1"/>
  <c r="C143" i="1"/>
  <c r="B143" i="1"/>
  <c r="B141" i="1"/>
  <c r="C133" i="1"/>
  <c r="B133" i="1"/>
  <c r="D133" i="1"/>
  <c r="D59" i="1"/>
  <c r="C90" i="1"/>
  <c r="C91" i="1"/>
  <c r="B90" i="1"/>
  <c r="B91" i="1" s="1"/>
  <c r="D90" i="1"/>
  <c r="D91" i="1" s="1"/>
  <c r="D15" i="1"/>
  <c r="D17" i="1" s="1"/>
  <c r="D18" i="1" s="1"/>
  <c r="D144" i="1" s="1"/>
  <c r="B15" i="1"/>
  <c r="B17" i="1" s="1"/>
  <c r="B18" i="1" s="1"/>
  <c r="B144" i="1" s="1"/>
  <c r="C15" i="1"/>
  <c r="C17" i="1" s="1"/>
  <c r="C18" i="1" s="1"/>
  <c r="C144" i="1" s="1"/>
  <c r="C21" i="1" l="1"/>
  <c r="C19" i="1"/>
  <c r="B21" i="1"/>
  <c r="B19" i="1"/>
  <c r="D21" i="1"/>
  <c r="D19" i="1"/>
</calcChain>
</file>

<file path=xl/sharedStrings.xml><?xml version="1.0" encoding="utf-8"?>
<sst xmlns="http://schemas.openxmlformats.org/spreadsheetml/2006/main" count="160" uniqueCount="146">
  <si>
    <t>Figures in INR Millions</t>
  </si>
  <si>
    <t>Particulars</t>
  </si>
  <si>
    <t>FY2023</t>
  </si>
  <si>
    <t>FY2024</t>
  </si>
  <si>
    <t>FY2025</t>
  </si>
  <si>
    <t>Revenue from Operations (Net Sales)</t>
  </si>
  <si>
    <t>Other Income</t>
  </si>
  <si>
    <t>Total Income</t>
  </si>
  <si>
    <t>Cost of Materials Consumed</t>
  </si>
  <si>
    <t>Purchases of Stock-in-Trade</t>
  </si>
  <si>
    <t>Changes in Inventories</t>
  </si>
  <si>
    <t>Employee Benefit Expenses</t>
  </si>
  <si>
    <t>Finance Costs</t>
  </si>
  <si>
    <t>Depreciation &amp; Amortization</t>
  </si>
  <si>
    <t>Other Expenses</t>
  </si>
  <si>
    <t>Total Expenses</t>
  </si>
  <si>
    <t>Profit Before Tax (PBT)</t>
  </si>
  <si>
    <t>Tax Expense</t>
  </si>
  <si>
    <t>Profit After Tax (PAT)</t>
  </si>
  <si>
    <t>Other Comprehensive Income (OCI)</t>
  </si>
  <si>
    <t>Total Comprehensive Income</t>
  </si>
  <si>
    <t>EPS - Basic (₹)</t>
  </si>
  <si>
    <t>EPS - Diluted (₹)</t>
  </si>
  <si>
    <t>ASSETS</t>
  </si>
  <si>
    <t>Non-Current Assets</t>
  </si>
  <si>
    <t xml:space="preserve">  (a) Property, plant and equipment</t>
  </si>
  <si>
    <t xml:space="preserve">  (b) Capital work-in-progress</t>
  </si>
  <si>
    <t xml:space="preserve">  (c) Goodwill (Net)</t>
  </si>
  <si>
    <t xml:space="preserve">  (d) Other intangible assets</t>
  </si>
  <si>
    <t xml:space="preserve">  (e) Intangible assets under development</t>
  </si>
  <si>
    <t xml:space="preserve">  (f) Investment in associates (using equity method)</t>
  </si>
  <si>
    <t xml:space="preserve">  (g) Investment in joint venture (using equity method)</t>
  </si>
  <si>
    <t xml:space="preserve">  (h) Financial assets</t>
  </si>
  <si>
    <t xml:space="preserve">      (i) Investments</t>
  </si>
  <si>
    <t xml:space="preserve">      (ii) Loans</t>
  </si>
  <si>
    <t xml:space="preserve">      (iii) Other financial assets</t>
  </si>
  <si>
    <t xml:space="preserve">  (i) Deferred tax assets (Net)</t>
  </si>
  <si>
    <t xml:space="preserve">  (j) Income tax assets (Net)</t>
  </si>
  <si>
    <t xml:space="preserve">  (k) Other non-current assets</t>
  </si>
  <si>
    <t>Total non-current assets</t>
  </si>
  <si>
    <t>Current Assets</t>
  </si>
  <si>
    <t xml:space="preserve">  (a) Inventories</t>
  </si>
  <si>
    <t xml:space="preserve">  (b) Financial assets</t>
  </si>
  <si>
    <t xml:space="preserve">      (ii) Trade receivables</t>
  </si>
  <si>
    <t xml:space="preserve">      (iii) Cash and cash equivalents</t>
  </si>
  <si>
    <t xml:space="preserve">      (iv) Bank balances other than (iii) above</t>
  </si>
  <si>
    <t xml:space="preserve">      (v) Loans</t>
  </si>
  <si>
    <t xml:space="preserve">      (vi) Other financial assets</t>
  </si>
  <si>
    <t xml:space="preserve">  (c) Other current assets</t>
  </si>
  <si>
    <t>Total current assets</t>
  </si>
  <si>
    <t>Assets classified as held for sale</t>
  </si>
  <si>
    <t>TOTAL ASSETS</t>
  </si>
  <si>
    <t>EQUITY AND LIABILITIES</t>
  </si>
  <si>
    <t>Equity</t>
  </si>
  <si>
    <t xml:space="preserve">  (a) Equity share capital</t>
  </si>
  <si>
    <t xml:space="preserve">  (b) Other equity</t>
  </si>
  <si>
    <t>Equity attributable to parent company</t>
  </si>
  <si>
    <t>Non-controlling interests</t>
  </si>
  <si>
    <t>Total equity</t>
  </si>
  <si>
    <t>Liabilities</t>
  </si>
  <si>
    <t>Non-current liabilities</t>
  </si>
  <si>
    <t xml:space="preserve">  (a) Financial liabilities</t>
  </si>
  <si>
    <t xml:space="preserve">      (i) Borrowings</t>
  </si>
  <si>
    <t xml:space="preserve">      (ii) Lease liabilities</t>
  </si>
  <si>
    <t xml:space="preserve">      (iii) Other financial liabilities</t>
  </si>
  <si>
    <t xml:space="preserve">  (b) Provisions</t>
  </si>
  <si>
    <t xml:space="preserve">  (c) Deferred tax liabilities (Net)</t>
  </si>
  <si>
    <t xml:space="preserve">  (d) Other non-current liabilities</t>
  </si>
  <si>
    <t xml:space="preserve">  (e) Non-Current tax liabilities (Net)</t>
  </si>
  <si>
    <t>Total non-current liabilities</t>
  </si>
  <si>
    <t>Current liabilities</t>
  </si>
  <si>
    <t xml:space="preserve">      (iii) Trade payables</t>
  </si>
  <si>
    <t xml:space="preserve">      (iv) Other financial liabilities</t>
  </si>
  <si>
    <t xml:space="preserve">  (b) Other current liabilities</t>
  </si>
  <si>
    <t xml:space="preserve">  (c) Provisions</t>
  </si>
  <si>
    <t xml:space="preserve">  (d) Current tax liabilities (Net)</t>
  </si>
  <si>
    <t>Total current liabilities</t>
  </si>
  <si>
    <t>Liabilities directly associated with assets held for sale</t>
  </si>
  <si>
    <t>Total liabilities</t>
  </si>
  <si>
    <t>TOTAL EQUITY AND LIABILITIES</t>
  </si>
  <si>
    <t>Profit before tax</t>
  </si>
  <si>
    <t>Adjustments for Depreciation &amp; Amortization</t>
  </si>
  <si>
    <t>Adjustments for Finance costs</t>
  </si>
  <si>
    <t>Adjustments for Interest income</t>
  </si>
  <si>
    <t>Operating profit before working capital changes</t>
  </si>
  <si>
    <t>Movements in working capital:</t>
  </si>
  <si>
    <t>Cash generated from operations</t>
  </si>
  <si>
    <t>Net Income tax (paid) / refund received</t>
  </si>
  <si>
    <t>Payments for purchase of PPE &amp; Intangibles</t>
  </si>
  <si>
    <t>Proceeds from sale / disposal of PPE</t>
  </si>
  <si>
    <t>Purchase of investments</t>
  </si>
  <si>
    <t>Proceeds from sale of investments</t>
  </si>
  <si>
    <t>Interest received</t>
  </si>
  <si>
    <t>Dividend received</t>
  </si>
  <si>
    <t>Proceeds from borrowings</t>
  </si>
  <si>
    <t>Repayment of borrowings</t>
  </si>
  <si>
    <t>Repayment of principal portion of lease liabilities</t>
  </si>
  <si>
    <t>Dividend paid</t>
  </si>
  <si>
    <t>Net increase / (decrease) in cash &amp; cash equivalents (A+B+C)</t>
  </si>
  <si>
    <t>Cash and cash equivalents at the beginning of the year</t>
  </si>
  <si>
    <t>Cash and cash equivalents at the end of the year</t>
  </si>
  <si>
    <t>-</t>
  </si>
  <si>
    <t>A. OPERATING ACTIVITIES</t>
  </si>
  <si>
    <t>Net Cash from Operating Activities (OCF)</t>
  </si>
  <si>
    <t>Adjustments for Other operations</t>
  </si>
  <si>
    <t xml:space="preserve">  Increase / Decrease in inventories</t>
  </si>
  <si>
    <t xml:space="preserve">  Increase / Decrease in trade receivables</t>
  </si>
  <si>
    <t xml:space="preserve">  Increase / Decrease in trade payables</t>
  </si>
  <si>
    <t xml:space="preserve">  Increase / Decrease in other assets</t>
  </si>
  <si>
    <t xml:space="preserve">  Increase / Decrease in other liabilities</t>
  </si>
  <si>
    <t>Increase / (Decrease) in provisions</t>
  </si>
  <si>
    <t>B. INVESTING ACTIVITIES</t>
  </si>
  <si>
    <t>Acquisition of subsidiary</t>
  </si>
  <si>
    <t>Others</t>
  </si>
  <si>
    <t>Net Cash from Investing Activities (ICF)</t>
  </si>
  <si>
    <t>C. FINANCING ACTIVITIES</t>
  </si>
  <si>
    <t>Other Financing Activities</t>
  </si>
  <si>
    <t>Finance Costs Paid</t>
  </si>
  <si>
    <t>CHECK: Matches Balance Sheet Cash?</t>
  </si>
  <si>
    <t>Yes</t>
  </si>
  <si>
    <t>CHECK: Matches Assets = Equity + Liabilities ?</t>
  </si>
  <si>
    <t>Profit before exceptional items and tax</t>
  </si>
  <si>
    <t>Exceptional items</t>
  </si>
  <si>
    <t>Profit for the year before share of profit / (loss) of associates and joint venture</t>
  </si>
  <si>
    <t xml:space="preserve"> Profit for the year before non-controlling interests</t>
  </si>
  <si>
    <t>EBITDA (PBT + Finance Costs + D&amp;A - Other Income)</t>
  </si>
  <si>
    <t>Liquidity Ratios</t>
  </si>
  <si>
    <t>Current Ratio (Current Assets ÷ Current Liabilities)</t>
  </si>
  <si>
    <t>Operating Cash Flow Ratio (CFO ÷ Current Liabilities)</t>
  </si>
  <si>
    <t xml:space="preserve">Leverage Ratios </t>
  </si>
  <si>
    <t xml:space="preserve">Profitability Ratios </t>
  </si>
  <si>
    <t xml:space="preserve">Efficiency Ratios </t>
  </si>
  <si>
    <t>Debt to Equity (D/E) (Total Debt ÷ Shareholders' Equity)</t>
  </si>
  <si>
    <t>Interest Coverage Ratio (EBIT ÷ Interest Expense)</t>
  </si>
  <si>
    <t>Return on Equity (ROE) (Net Income ÷ Shareholders' Equity × 100)</t>
  </si>
  <si>
    <t>Cash Conversion Cycle (DIO + DSO − DPO)</t>
  </si>
  <si>
    <t xml:space="preserve">  INCOME STATEMENT</t>
  </si>
  <si>
    <t xml:space="preserve">  BALANCE SHEET</t>
  </si>
  <si>
    <t xml:space="preserve">  CASH FLOW STATEMENT</t>
  </si>
  <si>
    <t>Net Cash from Financing Activities (FCF)</t>
  </si>
  <si>
    <t>Financial Ratios</t>
  </si>
  <si>
    <t>EBIT (PBT + Finance Costs - Other Income)</t>
  </si>
  <si>
    <t>Days Inventory Outstanding (DIO) (Inventories ÷ Revenue × 365)</t>
  </si>
  <si>
    <t>Days Sales Outstanding (DSO) (Trade Receivables ÷ Revenue × 365)</t>
  </si>
  <si>
    <t>Days Payable Outstanding (DPO) (Trade Payables ÷ Revenue × 365)</t>
  </si>
  <si>
    <t>Note: For Ratios I have used values from statement above, formulas have been added to these cells calculation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</si>
</sst>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0"/>
      <name val="Arial"/>
    </font>
    <font>
      <b/>
      <sz val="10"/>
      <color rgb="FF006100"/>
      <name val="Arial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3"/>
      <color rgb="FF002060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0"/>
      <color rgb="FFFFFFFF"/>
      <name val="Arial"/>
      <family val="2"/>
    </font>
    <font>
      <sz val="9"/>
      <color rgb="FF1F3864"/>
      <name val="Arial"/>
      <family val="2"/>
    </font>
    <font>
      <b/>
      <sz val="20"/>
      <color rgb="FF0D1B2A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4F7FA"/>
        <bgColor rgb="FFF4F7FA"/>
      </patternFill>
    </fill>
    <fill>
      <patternFill patternType="solid">
        <fgColor rgb="FFFFFFFF"/>
        <bgColor rgb="FFFFFFFF"/>
      </patternFill>
    </fill>
    <fill>
      <patternFill patternType="solid">
        <fgColor rgb="FFE6EDF5"/>
        <bgColor rgb="FFE6EDF5"/>
      </patternFill>
    </fill>
    <fill>
      <patternFill patternType="solid">
        <fgColor rgb="FFC6EFCE"/>
      </patternFill>
    </fill>
    <fill>
      <patternFill patternType="solid">
        <fgColor rgb="FF2E75B6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4" borderId="0" xfId="0" applyFont="1" applyFill="1" applyAlignment="1">
      <alignment horizontal="left" vertical="center"/>
    </xf>
    <xf numFmtId="164" fontId="2" fillId="4" borderId="0" xfId="0" applyNumberFormat="1" applyFont="1" applyFill="1" applyAlignment="1">
      <alignment horizontal="right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left" vertical="center"/>
    </xf>
    <xf numFmtId="164" fontId="2" fillId="4" borderId="1" xfId="0" applyNumberFormat="1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left" vertical="center"/>
    </xf>
    <xf numFmtId="164" fontId="3" fillId="5" borderId="1" xfId="0" applyNumberFormat="1" applyFont="1" applyFill="1" applyBorder="1" applyAlignment="1">
      <alignment horizontal="right" vertical="center"/>
    </xf>
    <xf numFmtId="4" fontId="0" fillId="0" borderId="1" xfId="0" applyNumberFormat="1" applyBorder="1"/>
    <xf numFmtId="4" fontId="2" fillId="3" borderId="1" xfId="0" applyNumberFormat="1" applyFont="1" applyFill="1" applyBorder="1" applyAlignment="1">
      <alignment horizontal="right" vertical="center"/>
    </xf>
    <xf numFmtId="4" fontId="2" fillId="4" borderId="1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right" vertical="center"/>
    </xf>
    <xf numFmtId="2" fontId="2" fillId="4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left" vertical="center"/>
    </xf>
    <xf numFmtId="4" fontId="3" fillId="3" borderId="1" xfId="0" applyNumberFormat="1" applyFont="1" applyFill="1" applyBorder="1" applyAlignment="1">
      <alignment horizontal="right" vertical="center"/>
    </xf>
    <xf numFmtId="0" fontId="0" fillId="0" borderId="1" xfId="0" applyBorder="1"/>
    <xf numFmtId="164" fontId="0" fillId="0" borderId="1" xfId="0" applyNumberFormat="1" applyBorder="1"/>
    <xf numFmtId="0" fontId="7" fillId="5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4" fontId="6" fillId="0" borderId="1" xfId="0" applyNumberFormat="1" applyFont="1" applyBorder="1"/>
    <xf numFmtId="0" fontId="3" fillId="3" borderId="1" xfId="0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right" vertical="center"/>
    </xf>
    <xf numFmtId="0" fontId="12" fillId="0" borderId="1" xfId="0" applyFont="1" applyBorder="1"/>
    <xf numFmtId="0" fontId="8" fillId="0" borderId="1" xfId="0" applyFont="1" applyBorder="1" applyAlignment="1">
      <alignment horizontal="left" vertical="center" readingOrder="1"/>
    </xf>
    <xf numFmtId="0" fontId="9" fillId="0" borderId="1" xfId="0" applyFont="1" applyBorder="1" applyAlignment="1">
      <alignment horizontal="left" vertical="center" readingOrder="1"/>
    </xf>
    <xf numFmtId="0" fontId="6" fillId="0" borderId="1" xfId="0" applyFont="1" applyBorder="1"/>
    <xf numFmtId="164" fontId="6" fillId="0" borderId="1" xfId="0" applyNumberFormat="1" applyFont="1" applyBorder="1"/>
    <xf numFmtId="0" fontId="10" fillId="7" borderId="0" xfId="0" applyFont="1" applyFill="1" applyAlignment="1">
      <alignment horizontal="left" vertical="center" indent="1"/>
    </xf>
    <xf numFmtId="0" fontId="0" fillId="0" borderId="0" xfId="0"/>
    <xf numFmtId="0" fontId="10" fillId="7" borderId="1" xfId="0" applyFont="1" applyFill="1" applyBorder="1" applyAlignment="1">
      <alignment horizontal="left" vertical="center" indent="1"/>
    </xf>
    <xf numFmtId="0" fontId="0" fillId="0" borderId="1" xfId="0" applyBorder="1"/>
    <xf numFmtId="0" fontId="11" fillId="8" borderId="0" xfId="0" applyFont="1" applyFill="1" applyAlignment="1">
      <alignment horizontal="center" vertical="center" wrapText="1"/>
    </xf>
    <xf numFmtId="0" fontId="13" fillId="0" borderId="0" xfId="0" applyFont="1" applyFill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3"/>
  <sheetViews>
    <sheetView tabSelected="1" topLeftCell="A140" workbookViewId="0">
      <selection activeCell="A155" sqref="A155"/>
    </sheetView>
  </sheetViews>
  <sheetFormatPr defaultRowHeight="14.4" x14ac:dyDescent="0.3"/>
  <cols>
    <col min="1" max="1" width="68.109375" bestFit="1" customWidth="1"/>
    <col min="2" max="4" width="15" customWidth="1"/>
  </cols>
  <sheetData>
    <row r="1" spans="1:4" ht="25.05" customHeight="1" x14ac:dyDescent="0.3">
      <c r="A1" s="3" t="s">
        <v>1</v>
      </c>
      <c r="B1" s="4" t="s">
        <v>2</v>
      </c>
      <c r="C1" s="4" t="s">
        <v>3</v>
      </c>
      <c r="D1" s="4" t="s">
        <v>4</v>
      </c>
    </row>
    <row r="2" spans="1:4" ht="19.95" customHeight="1" x14ac:dyDescent="0.3">
      <c r="A2" s="42" t="s">
        <v>0</v>
      </c>
      <c r="B2" s="39"/>
      <c r="C2" s="39"/>
      <c r="D2" s="39"/>
    </row>
    <row r="3" spans="1:4" ht="18" customHeight="1" x14ac:dyDescent="0.3">
      <c r="A3" s="38" t="s">
        <v>136</v>
      </c>
      <c r="B3" s="39"/>
      <c r="C3" s="39"/>
      <c r="D3" s="39"/>
    </row>
    <row r="4" spans="1:4" ht="19.95" customHeight="1" x14ac:dyDescent="0.3">
      <c r="A4" s="5" t="s">
        <v>5</v>
      </c>
      <c r="B4" s="6">
        <v>438856.8</v>
      </c>
      <c r="C4" s="6">
        <v>484968.5</v>
      </c>
      <c r="D4" s="6">
        <v>525784.4</v>
      </c>
    </row>
    <row r="5" spans="1:4" ht="19.95" customHeight="1" x14ac:dyDescent="0.3">
      <c r="A5" s="7" t="s">
        <v>6</v>
      </c>
      <c r="B5" s="8">
        <v>6345.2</v>
      </c>
      <c r="C5" s="8">
        <v>13541.9</v>
      </c>
      <c r="D5" s="8">
        <v>19650.400000000001</v>
      </c>
    </row>
    <row r="6" spans="1:4" ht="19.95" customHeight="1" x14ac:dyDescent="0.3">
      <c r="A6" s="9" t="s">
        <v>7</v>
      </c>
      <c r="B6" s="10">
        <f>SUM(B4:B5)</f>
        <v>445202</v>
      </c>
      <c r="C6" s="10">
        <f>SUM(C4:C5)</f>
        <v>498510.4</v>
      </c>
      <c r="D6" s="10">
        <f>SUM(D4:D5)</f>
        <v>545434.80000000005</v>
      </c>
    </row>
    <row r="7" spans="1:4" ht="19.95" customHeight="1" x14ac:dyDescent="0.3">
      <c r="A7" s="7" t="s">
        <v>8</v>
      </c>
      <c r="B7" s="11">
        <v>77775.7</v>
      </c>
      <c r="C7" s="11">
        <v>69043.3</v>
      </c>
      <c r="D7" s="11">
        <v>64491</v>
      </c>
    </row>
    <row r="8" spans="1:4" ht="19.95" customHeight="1" x14ac:dyDescent="0.3">
      <c r="A8" s="5" t="s">
        <v>9</v>
      </c>
      <c r="B8" s="12">
        <v>35715</v>
      </c>
      <c r="C8" s="12">
        <v>34661.5</v>
      </c>
      <c r="D8" s="12">
        <v>41479.5</v>
      </c>
    </row>
    <row r="9" spans="1:4" ht="19.95" customHeight="1" x14ac:dyDescent="0.3">
      <c r="A9" s="7" t="s">
        <v>10</v>
      </c>
      <c r="B9" s="13">
        <v>-6869.1</v>
      </c>
      <c r="C9" s="13">
        <v>2921.3</v>
      </c>
      <c r="D9" s="13">
        <v>1503.1</v>
      </c>
    </row>
    <row r="10" spans="1:4" ht="19.95" customHeight="1" x14ac:dyDescent="0.3">
      <c r="A10" s="5" t="s">
        <v>11</v>
      </c>
      <c r="B10" s="12">
        <v>82960.3</v>
      </c>
      <c r="C10" s="12">
        <v>94290.6</v>
      </c>
      <c r="D10" s="14">
        <v>99731.199999999997</v>
      </c>
    </row>
    <row r="11" spans="1:4" ht="19.95" customHeight="1" x14ac:dyDescent="0.3">
      <c r="A11" s="7" t="s">
        <v>12</v>
      </c>
      <c r="B11" s="8">
        <v>1720</v>
      </c>
      <c r="C11" s="8">
        <v>2384.6999999999998</v>
      </c>
      <c r="D11" s="8">
        <v>2313.6</v>
      </c>
    </row>
    <row r="12" spans="1:4" ht="19.95" customHeight="1" x14ac:dyDescent="0.3">
      <c r="A12" s="5" t="s">
        <v>13</v>
      </c>
      <c r="B12" s="6">
        <v>25294.3</v>
      </c>
      <c r="C12" s="6">
        <v>25566.400000000001</v>
      </c>
      <c r="D12" s="6">
        <v>25753.9</v>
      </c>
    </row>
    <row r="13" spans="1:4" ht="19.95" customHeight="1" x14ac:dyDescent="0.3">
      <c r="A13" s="7" t="s">
        <v>14</v>
      </c>
      <c r="B13" s="15">
        <v>132807</v>
      </c>
      <c r="C13" s="15">
        <v>153820.5</v>
      </c>
      <c r="D13" s="15">
        <v>165862.70000000001</v>
      </c>
    </row>
    <row r="14" spans="1:4" ht="19.95" customHeight="1" x14ac:dyDescent="0.3">
      <c r="A14" s="16" t="s">
        <v>15</v>
      </c>
      <c r="B14" s="17">
        <f>SUM(B7:B13)</f>
        <v>349403.19999999995</v>
      </c>
      <c r="C14" s="17">
        <f>SUM(C7:C13)</f>
        <v>382688.30000000005</v>
      </c>
      <c r="D14" s="17">
        <f>SUM(D7:D13)</f>
        <v>401135</v>
      </c>
    </row>
    <row r="15" spans="1:4" ht="19.95" customHeight="1" x14ac:dyDescent="0.3">
      <c r="A15" s="18" t="s">
        <v>121</v>
      </c>
      <c r="B15" s="19">
        <f>SUM(B6-B14)</f>
        <v>95798.800000000047</v>
      </c>
      <c r="C15" s="19">
        <f>SUM(C6-C14)</f>
        <v>115822.09999999998</v>
      </c>
      <c r="D15" s="19">
        <f>SUM(D6-D14)</f>
        <v>144299.80000000005</v>
      </c>
    </row>
    <row r="16" spans="1:4" ht="19.95" customHeight="1" x14ac:dyDescent="0.3">
      <c r="A16" s="5" t="s">
        <v>122</v>
      </c>
      <c r="B16" s="12">
        <v>1714.5</v>
      </c>
      <c r="C16" s="12">
        <v>4943.2</v>
      </c>
      <c r="D16" s="12">
        <v>6778.5</v>
      </c>
    </row>
    <row r="17" spans="1:4" ht="19.95" customHeight="1" x14ac:dyDescent="0.3">
      <c r="A17" s="9" t="s">
        <v>16</v>
      </c>
      <c r="B17" s="10">
        <f>B15-B16</f>
        <v>94084.300000000047</v>
      </c>
      <c r="C17" s="10">
        <f>C15-C16</f>
        <v>110878.89999999998</v>
      </c>
      <c r="D17" s="10">
        <f>D15-D16</f>
        <v>137521.30000000005</v>
      </c>
    </row>
    <row r="18" spans="1:4" ht="19.95" customHeight="1" x14ac:dyDescent="0.3">
      <c r="A18" s="36" t="s">
        <v>141</v>
      </c>
      <c r="B18" s="37">
        <f>B17+B11-B5</f>
        <v>89459.100000000049</v>
      </c>
      <c r="C18" s="37">
        <f t="shared" ref="C18:D18" si="0">C17+C11-C5</f>
        <v>99721.699999999983</v>
      </c>
      <c r="D18" s="37">
        <f t="shared" si="0"/>
        <v>120184.50000000006</v>
      </c>
    </row>
    <row r="19" spans="1:4" x14ac:dyDescent="0.3">
      <c r="A19" s="20" t="s">
        <v>125</v>
      </c>
      <c r="B19" s="10">
        <f>B17+B12+B11-B5</f>
        <v>114753.40000000005</v>
      </c>
      <c r="C19" s="10">
        <f>C17+C12+C11-C5</f>
        <v>125288.1</v>
      </c>
      <c r="D19" s="10">
        <f>D17+D12+D11-D5</f>
        <v>145938.40000000005</v>
      </c>
    </row>
    <row r="20" spans="1:4" ht="19.95" customHeight="1" x14ac:dyDescent="0.3">
      <c r="A20" s="5" t="s">
        <v>17</v>
      </c>
      <c r="B20" s="12">
        <v>8475.9</v>
      </c>
      <c r="C20" s="12">
        <v>14394.5</v>
      </c>
      <c r="D20" s="12">
        <v>27720.3</v>
      </c>
    </row>
    <row r="21" spans="1:4" ht="19.95" customHeight="1" x14ac:dyDescent="0.3">
      <c r="A21" s="9" t="s">
        <v>123</v>
      </c>
      <c r="B21" s="10">
        <f>B17-B20</f>
        <v>85608.400000000052</v>
      </c>
      <c r="C21" s="10">
        <f>C17-C20</f>
        <v>96484.39999999998</v>
      </c>
      <c r="D21" s="10">
        <f>D17-D20</f>
        <v>109801.00000000004</v>
      </c>
    </row>
    <row r="22" spans="1:4" ht="19.95" customHeight="1" x14ac:dyDescent="0.3">
      <c r="A22" s="21" t="s">
        <v>124</v>
      </c>
      <c r="B22" s="22">
        <v>85129.4</v>
      </c>
      <c r="C22" s="22">
        <v>96100.3</v>
      </c>
      <c r="D22" s="22">
        <v>109647.5</v>
      </c>
    </row>
    <row r="23" spans="1:4" ht="19.95" customHeight="1" x14ac:dyDescent="0.3">
      <c r="A23" s="9" t="s">
        <v>18</v>
      </c>
      <c r="B23" s="10">
        <v>84736</v>
      </c>
      <c r="C23" s="10">
        <v>95764</v>
      </c>
      <c r="D23" s="10">
        <v>109290</v>
      </c>
    </row>
    <row r="24" spans="1:4" ht="19.95" customHeight="1" x14ac:dyDescent="0.3">
      <c r="A24" s="5" t="s">
        <v>19</v>
      </c>
      <c r="B24" s="12">
        <v>22565.7</v>
      </c>
      <c r="C24" s="12">
        <v>11421.3</v>
      </c>
      <c r="D24" s="12">
        <v>9124.1</v>
      </c>
    </row>
    <row r="25" spans="1:4" ht="19.95" customHeight="1" x14ac:dyDescent="0.3">
      <c r="A25" s="9" t="s">
        <v>20</v>
      </c>
      <c r="B25" s="10">
        <f t="shared" ref="B25:C25" si="1">B23+B24</f>
        <v>107301.7</v>
      </c>
      <c r="C25" s="10">
        <f t="shared" si="1"/>
        <v>107185.3</v>
      </c>
      <c r="D25" s="10">
        <f>D23+D24</f>
        <v>118414.1</v>
      </c>
    </row>
    <row r="26" spans="1:4" ht="19.95" customHeight="1" x14ac:dyDescent="0.3">
      <c r="A26" s="5" t="s">
        <v>21</v>
      </c>
      <c r="B26" s="6">
        <v>35.299999999999997</v>
      </c>
      <c r="C26" s="6">
        <v>39.9</v>
      </c>
      <c r="D26" s="6">
        <v>45.6</v>
      </c>
    </row>
    <row r="27" spans="1:4" ht="19.95" customHeight="1" x14ac:dyDescent="0.3">
      <c r="A27" s="7" t="s">
        <v>22</v>
      </c>
      <c r="B27" s="8">
        <v>35.299999999999997</v>
      </c>
      <c r="C27" s="8">
        <v>39.9</v>
      </c>
      <c r="D27" s="8">
        <v>45.6</v>
      </c>
    </row>
    <row r="28" spans="1:4" ht="19.95" customHeight="1" x14ac:dyDescent="0.3">
      <c r="A28" s="1"/>
      <c r="B28" s="2"/>
      <c r="C28" s="2"/>
      <c r="D28" s="2"/>
    </row>
    <row r="29" spans="1:4" ht="18" customHeight="1" x14ac:dyDescent="0.3">
      <c r="A29" s="38" t="s">
        <v>137</v>
      </c>
      <c r="B29" s="39"/>
      <c r="C29" s="39"/>
      <c r="D29" s="39"/>
    </row>
    <row r="30" spans="1:4" x14ac:dyDescent="0.3">
      <c r="A30" s="16" t="s">
        <v>23</v>
      </c>
      <c r="B30" s="23"/>
      <c r="C30" s="23"/>
      <c r="D30" s="23"/>
    </row>
    <row r="31" spans="1:4" x14ac:dyDescent="0.3">
      <c r="A31" s="24" t="s">
        <v>24</v>
      </c>
      <c r="B31" s="25"/>
      <c r="C31" s="25"/>
      <c r="D31" s="25"/>
    </row>
    <row r="32" spans="1:4" x14ac:dyDescent="0.3">
      <c r="A32" s="5" t="s">
        <v>25</v>
      </c>
      <c r="B32" s="6">
        <v>103903.8</v>
      </c>
      <c r="C32" s="6">
        <v>101923.2</v>
      </c>
      <c r="D32" s="6">
        <v>100359.4</v>
      </c>
    </row>
    <row r="33" spans="1:4" x14ac:dyDescent="0.3">
      <c r="A33" s="7" t="s">
        <v>26</v>
      </c>
      <c r="B33" s="8">
        <v>9633.5</v>
      </c>
      <c r="C33" s="8">
        <v>11077.3</v>
      </c>
      <c r="D33" s="8">
        <v>12343.4</v>
      </c>
    </row>
    <row r="34" spans="1:4" x14ac:dyDescent="0.3">
      <c r="A34" s="5" t="s">
        <v>27</v>
      </c>
      <c r="B34" s="6">
        <v>83580.3</v>
      </c>
      <c r="C34" s="6">
        <v>85989.5</v>
      </c>
      <c r="D34" s="6">
        <v>89394.2</v>
      </c>
    </row>
    <row r="35" spans="1:4" x14ac:dyDescent="0.3">
      <c r="A35" s="7" t="s">
        <v>28</v>
      </c>
      <c r="B35" s="8">
        <v>53170.3</v>
      </c>
      <c r="C35" s="8">
        <v>44201.1</v>
      </c>
      <c r="D35" s="8">
        <v>36109.199999999997</v>
      </c>
    </row>
    <row r="36" spans="1:4" x14ac:dyDescent="0.3">
      <c r="A36" s="5" t="s">
        <v>29</v>
      </c>
      <c r="B36" s="6">
        <v>40098.1</v>
      </c>
      <c r="C36" s="6">
        <v>42461.5</v>
      </c>
      <c r="D36" s="6">
        <v>54096.2</v>
      </c>
    </row>
    <row r="37" spans="1:4" x14ac:dyDescent="0.3">
      <c r="A37" s="7" t="s">
        <v>30</v>
      </c>
      <c r="B37" s="8">
        <v>3474.8</v>
      </c>
      <c r="C37" s="8">
        <v>4061.3</v>
      </c>
      <c r="D37" s="26" t="s">
        <v>101</v>
      </c>
    </row>
    <row r="38" spans="1:4" x14ac:dyDescent="0.3">
      <c r="A38" s="5" t="s">
        <v>31</v>
      </c>
      <c r="B38" s="6">
        <v>361.6</v>
      </c>
      <c r="C38" s="6">
        <v>364.8</v>
      </c>
      <c r="D38" s="27" t="s">
        <v>101</v>
      </c>
    </row>
    <row r="39" spans="1:4" x14ac:dyDescent="0.3">
      <c r="A39" s="24" t="s">
        <v>32</v>
      </c>
      <c r="B39" s="25"/>
      <c r="C39" s="25"/>
      <c r="D39" s="25"/>
    </row>
    <row r="40" spans="1:4" x14ac:dyDescent="0.3">
      <c r="A40" s="5" t="s">
        <v>33</v>
      </c>
      <c r="B40" s="6">
        <v>50680.9</v>
      </c>
      <c r="C40" s="6">
        <v>59986.2</v>
      </c>
      <c r="D40" s="6">
        <v>46977</v>
      </c>
    </row>
    <row r="41" spans="1:4" x14ac:dyDescent="0.3">
      <c r="A41" s="7" t="s">
        <v>34</v>
      </c>
      <c r="B41" s="8">
        <v>6.1</v>
      </c>
      <c r="C41" s="8">
        <v>8.5</v>
      </c>
      <c r="D41" s="8">
        <v>27.9</v>
      </c>
    </row>
    <row r="42" spans="1:4" x14ac:dyDescent="0.3">
      <c r="A42" s="5" t="s">
        <v>35</v>
      </c>
      <c r="B42" s="6">
        <v>1710.4</v>
      </c>
      <c r="C42" s="6">
        <v>1179.5</v>
      </c>
      <c r="D42" s="6">
        <v>1770.4</v>
      </c>
    </row>
    <row r="43" spans="1:4" x14ac:dyDescent="0.3">
      <c r="A43" s="7" t="s">
        <v>36</v>
      </c>
      <c r="B43" s="8">
        <v>35189.199999999997</v>
      </c>
      <c r="C43" s="8">
        <v>41036.5</v>
      </c>
      <c r="D43" s="8">
        <v>44075.5</v>
      </c>
    </row>
    <row r="44" spans="1:4" x14ac:dyDescent="0.3">
      <c r="A44" s="5" t="s">
        <v>37</v>
      </c>
      <c r="B44" s="6">
        <v>23069.8</v>
      </c>
      <c r="C44" s="6">
        <v>22850.3</v>
      </c>
      <c r="D44" s="6">
        <v>4206.7</v>
      </c>
    </row>
    <row r="45" spans="1:4" x14ac:dyDescent="0.3">
      <c r="A45" s="7" t="s">
        <v>38</v>
      </c>
      <c r="B45" s="8">
        <v>3723.7</v>
      </c>
      <c r="C45" s="8">
        <v>4739.3</v>
      </c>
      <c r="D45" s="8">
        <v>5401.2</v>
      </c>
    </row>
    <row r="46" spans="1:4" x14ac:dyDescent="0.3">
      <c r="A46" s="9" t="s">
        <v>39</v>
      </c>
      <c r="B46" s="10">
        <f>SUM(B32:B45)</f>
        <v>408602.5</v>
      </c>
      <c r="C46" s="10">
        <f>SUM(C32:C45)</f>
        <v>419878.99999999994</v>
      </c>
      <c r="D46" s="10">
        <f>SUM(D32:D45)</f>
        <v>394761.10000000009</v>
      </c>
    </row>
    <row r="47" spans="1:4" x14ac:dyDescent="0.3">
      <c r="A47" s="24" t="s">
        <v>40</v>
      </c>
      <c r="B47" s="25"/>
      <c r="C47" s="25"/>
      <c r="D47" s="25"/>
    </row>
    <row r="48" spans="1:4" x14ac:dyDescent="0.3">
      <c r="A48" s="5" t="s">
        <v>41</v>
      </c>
      <c r="B48" s="6">
        <v>105130.5</v>
      </c>
      <c r="C48" s="6">
        <v>98682.9</v>
      </c>
      <c r="D48" s="6">
        <v>102433.3</v>
      </c>
    </row>
    <row r="49" spans="1:4" x14ac:dyDescent="0.3">
      <c r="A49" s="24" t="s">
        <v>42</v>
      </c>
      <c r="B49" s="25"/>
      <c r="C49" s="25"/>
      <c r="D49" s="25"/>
    </row>
    <row r="50" spans="1:4" x14ac:dyDescent="0.3">
      <c r="A50" s="5" t="s">
        <v>33</v>
      </c>
      <c r="B50" s="6">
        <v>93726.1</v>
      </c>
      <c r="C50" s="6">
        <v>85845.4</v>
      </c>
      <c r="D50" s="6">
        <v>136561</v>
      </c>
    </row>
    <row r="51" spans="1:4" x14ac:dyDescent="0.3">
      <c r="A51" s="7" t="s">
        <v>43</v>
      </c>
      <c r="B51" s="8">
        <v>114385.1</v>
      </c>
      <c r="C51" s="8">
        <v>112493.7</v>
      </c>
      <c r="D51" s="8">
        <v>130461.1</v>
      </c>
    </row>
    <row r="52" spans="1:4" x14ac:dyDescent="0.3">
      <c r="A52" s="5" t="s">
        <v>44</v>
      </c>
      <c r="B52" s="6">
        <v>46237.3</v>
      </c>
      <c r="C52" s="6">
        <v>92856.5</v>
      </c>
      <c r="D52" s="6">
        <v>102687.7</v>
      </c>
    </row>
    <row r="53" spans="1:4" x14ac:dyDescent="0.3">
      <c r="A53" s="7" t="s">
        <v>45</v>
      </c>
      <c r="B53" s="8">
        <v>11465.6</v>
      </c>
      <c r="C53" s="8">
        <v>12350.3</v>
      </c>
      <c r="D53" s="8">
        <v>10628.5</v>
      </c>
    </row>
    <row r="54" spans="1:4" x14ac:dyDescent="0.3">
      <c r="A54" s="5" t="s">
        <v>46</v>
      </c>
      <c r="B54" s="6">
        <v>413.2</v>
      </c>
      <c r="C54" s="6">
        <v>650.20000000000005</v>
      </c>
      <c r="D54" s="6">
        <v>483.8</v>
      </c>
    </row>
    <row r="55" spans="1:4" x14ac:dyDescent="0.3">
      <c r="A55" s="7" t="s">
        <v>47</v>
      </c>
      <c r="B55" s="8">
        <v>7645.1</v>
      </c>
      <c r="C55" s="8">
        <v>9172</v>
      </c>
      <c r="D55" s="8">
        <v>17406.599999999999</v>
      </c>
    </row>
    <row r="56" spans="1:4" x14ac:dyDescent="0.3">
      <c r="A56" s="5" t="s">
        <v>48</v>
      </c>
      <c r="B56" s="6">
        <v>19616.5</v>
      </c>
      <c r="C56" s="6">
        <v>22280.1</v>
      </c>
      <c r="D56" s="6">
        <v>25278.6</v>
      </c>
    </row>
    <row r="57" spans="1:4" x14ac:dyDescent="0.3">
      <c r="A57" s="9" t="s">
        <v>49</v>
      </c>
      <c r="B57" s="10">
        <f>SUM(B48:B56)</f>
        <v>398619.39999999997</v>
      </c>
      <c r="C57" s="10">
        <f>SUM(C48:C56)</f>
        <v>434331.1</v>
      </c>
      <c r="D57" s="10">
        <f>SUM(D48:D56)</f>
        <v>525940.6</v>
      </c>
    </row>
    <row r="58" spans="1:4" x14ac:dyDescent="0.3">
      <c r="A58" s="5" t="s">
        <v>50</v>
      </c>
      <c r="B58" s="6">
        <v>214</v>
      </c>
      <c r="C58" s="6">
        <v>418.7</v>
      </c>
      <c r="D58" s="6">
        <v>304.10000000000002</v>
      </c>
    </row>
    <row r="59" spans="1:4" x14ac:dyDescent="0.3">
      <c r="A59" s="9" t="s">
        <v>51</v>
      </c>
      <c r="B59" s="10">
        <f>SUM(B46+B57+B58)</f>
        <v>807435.89999999991</v>
      </c>
      <c r="C59" s="10">
        <f>SUM(C46+C57+C58)</f>
        <v>854628.79999999981</v>
      </c>
      <c r="D59" s="10">
        <f>SUM(D46+D57+D58)</f>
        <v>921005.8</v>
      </c>
    </row>
    <row r="60" spans="1:4" x14ac:dyDescent="0.3">
      <c r="A60" s="5"/>
      <c r="B60" s="14"/>
      <c r="C60" s="14"/>
      <c r="D60" s="14"/>
    </row>
    <row r="61" spans="1:4" x14ac:dyDescent="0.3">
      <c r="A61" s="24" t="s">
        <v>52</v>
      </c>
      <c r="B61" s="25"/>
      <c r="C61" s="25"/>
      <c r="D61" s="25"/>
    </row>
    <row r="62" spans="1:4" x14ac:dyDescent="0.3">
      <c r="A62" s="16" t="s">
        <v>53</v>
      </c>
      <c r="B62" s="23"/>
      <c r="C62" s="23"/>
      <c r="D62" s="23"/>
    </row>
    <row r="63" spans="1:4" x14ac:dyDescent="0.3">
      <c r="A63" s="7" t="s">
        <v>54</v>
      </c>
      <c r="B63" s="8">
        <v>2399.3000000000002</v>
      </c>
      <c r="C63" s="8">
        <v>2399.3000000000002</v>
      </c>
      <c r="D63" s="8">
        <v>2399.3000000000002</v>
      </c>
    </row>
    <row r="64" spans="1:4" x14ac:dyDescent="0.3">
      <c r="A64" s="5" t="s">
        <v>55</v>
      </c>
      <c r="B64" s="6">
        <v>557554.5</v>
      </c>
      <c r="C64" s="6">
        <v>634268.19999999995</v>
      </c>
      <c r="D64" s="6">
        <v>719780.9</v>
      </c>
    </row>
    <row r="65" spans="1:4" x14ac:dyDescent="0.3">
      <c r="A65" s="24" t="s">
        <v>56</v>
      </c>
      <c r="B65" s="28">
        <f>SUM(B63:B64)</f>
        <v>559953.80000000005</v>
      </c>
      <c r="C65" s="28">
        <f>SUM(C63:C64)</f>
        <v>636667.5</v>
      </c>
      <c r="D65" s="28">
        <f>SUM(D63:D64)</f>
        <v>722180.20000000007</v>
      </c>
    </row>
    <row r="66" spans="1:4" x14ac:dyDescent="0.3">
      <c r="A66" s="5" t="s">
        <v>57</v>
      </c>
      <c r="B66" s="6">
        <v>33200.9</v>
      </c>
      <c r="C66" s="6">
        <v>34392.199999999997</v>
      </c>
      <c r="D66" s="6">
        <v>2679.3</v>
      </c>
    </row>
    <row r="67" spans="1:4" x14ac:dyDescent="0.3">
      <c r="A67" s="9" t="s">
        <v>58</v>
      </c>
      <c r="B67" s="10">
        <f>SUM(B65:B66)</f>
        <v>593154.70000000007</v>
      </c>
      <c r="C67" s="10">
        <f>SUM(C65:C66)</f>
        <v>671059.69999999995</v>
      </c>
      <c r="D67" s="10">
        <f>SUM(D65:D66)</f>
        <v>724859.50000000012</v>
      </c>
    </row>
    <row r="68" spans="1:4" x14ac:dyDescent="0.3">
      <c r="A68" s="16" t="s">
        <v>59</v>
      </c>
      <c r="B68" s="23"/>
      <c r="C68" s="23"/>
      <c r="D68" s="23"/>
    </row>
    <row r="69" spans="1:4" x14ac:dyDescent="0.3">
      <c r="A69" s="24" t="s">
        <v>60</v>
      </c>
      <c r="B69" s="25"/>
      <c r="C69" s="25"/>
      <c r="D69" s="25"/>
    </row>
    <row r="70" spans="1:4" x14ac:dyDescent="0.3">
      <c r="A70" s="16" t="s">
        <v>61</v>
      </c>
      <c r="B70" s="23"/>
      <c r="C70" s="23"/>
      <c r="D70" s="23"/>
    </row>
    <row r="71" spans="1:4" x14ac:dyDescent="0.3">
      <c r="A71" s="7" t="s">
        <v>62</v>
      </c>
      <c r="B71" s="14">
        <v>0</v>
      </c>
      <c r="C71" s="8">
        <v>13.3</v>
      </c>
      <c r="D71" s="8">
        <v>25.2</v>
      </c>
    </row>
    <row r="72" spans="1:4" x14ac:dyDescent="0.3">
      <c r="A72" s="5" t="s">
        <v>63</v>
      </c>
      <c r="B72" s="6">
        <v>5599.1</v>
      </c>
      <c r="C72" s="6">
        <v>3022.9</v>
      </c>
      <c r="D72" s="6">
        <v>3557.4</v>
      </c>
    </row>
    <row r="73" spans="1:4" x14ac:dyDescent="0.3">
      <c r="A73" s="7" t="s">
        <v>64</v>
      </c>
      <c r="B73" s="8">
        <v>37.9</v>
      </c>
      <c r="C73" s="27" t="s">
        <v>101</v>
      </c>
      <c r="D73" s="8">
        <v>106.8</v>
      </c>
    </row>
    <row r="74" spans="1:4" x14ac:dyDescent="0.3">
      <c r="A74" s="5" t="s">
        <v>65</v>
      </c>
      <c r="B74" s="6">
        <v>3429.1</v>
      </c>
      <c r="C74" s="6">
        <v>4138.8999999999996</v>
      </c>
      <c r="D74" s="6">
        <v>4650.3999999999996</v>
      </c>
    </row>
    <row r="75" spans="1:4" x14ac:dyDescent="0.3">
      <c r="A75" s="7" t="s">
        <v>66</v>
      </c>
      <c r="B75" s="8">
        <v>316.89999999999998</v>
      </c>
      <c r="C75" s="8">
        <v>1550.6</v>
      </c>
      <c r="D75" s="8">
        <v>1924.4</v>
      </c>
    </row>
    <row r="76" spans="1:4" x14ac:dyDescent="0.3">
      <c r="A76" s="5" t="s">
        <v>67</v>
      </c>
      <c r="B76" s="6">
        <v>5828.2</v>
      </c>
      <c r="C76" s="6">
        <v>4999.3999999999996</v>
      </c>
      <c r="D76" s="6">
        <v>3852.4</v>
      </c>
    </row>
    <row r="77" spans="1:4" x14ac:dyDescent="0.3">
      <c r="A77" s="7" t="s">
        <v>68</v>
      </c>
      <c r="B77" s="27" t="s">
        <v>101</v>
      </c>
      <c r="C77" s="27" t="s">
        <v>101</v>
      </c>
      <c r="D77" s="8">
        <v>87.6</v>
      </c>
    </row>
    <row r="78" spans="1:4" x14ac:dyDescent="0.3">
      <c r="A78" s="9" t="s">
        <v>69</v>
      </c>
      <c r="B78" s="10">
        <f>SUM(B71:B77)</f>
        <v>15211.2</v>
      </c>
      <c r="C78" s="10">
        <f>SUM(C71:C77)</f>
        <v>13725.1</v>
      </c>
      <c r="D78" s="10">
        <f>SUM(D71:D77)</f>
        <v>14204.199999999999</v>
      </c>
    </row>
    <row r="79" spans="1:4" x14ac:dyDescent="0.3">
      <c r="A79" s="24" t="s">
        <v>70</v>
      </c>
      <c r="B79" s="25"/>
      <c r="C79" s="25"/>
      <c r="D79" s="25"/>
    </row>
    <row r="80" spans="1:4" x14ac:dyDescent="0.3">
      <c r="A80" s="16" t="s">
        <v>61</v>
      </c>
      <c r="B80" s="23"/>
      <c r="C80" s="23"/>
      <c r="D80" s="23"/>
    </row>
    <row r="81" spans="1:4" x14ac:dyDescent="0.3">
      <c r="A81" s="7" t="s">
        <v>62</v>
      </c>
      <c r="B81" s="8">
        <v>61978.8</v>
      </c>
      <c r="C81" s="8">
        <v>28443.599999999999</v>
      </c>
      <c r="D81" s="8">
        <v>18671.099999999999</v>
      </c>
    </row>
    <row r="82" spans="1:4" x14ac:dyDescent="0.3">
      <c r="A82" s="5" t="s">
        <v>63</v>
      </c>
      <c r="B82" s="6">
        <v>1280.8</v>
      </c>
      <c r="C82" s="6">
        <v>1256.9000000000001</v>
      </c>
      <c r="D82" s="6">
        <v>1368.2</v>
      </c>
    </row>
    <row r="83" spans="1:4" x14ac:dyDescent="0.3">
      <c r="A83" s="7" t="s">
        <v>71</v>
      </c>
      <c r="B83" s="8">
        <v>56815.199999999997</v>
      </c>
      <c r="C83" s="8">
        <v>56533</v>
      </c>
      <c r="D83" s="8">
        <v>61843.4</v>
      </c>
    </row>
    <row r="84" spans="1:4" x14ac:dyDescent="0.3">
      <c r="A84" s="5" t="s">
        <v>72</v>
      </c>
      <c r="B84" s="6">
        <v>15930.9</v>
      </c>
      <c r="C84" s="6">
        <v>15067</v>
      </c>
      <c r="D84" s="6">
        <v>19478.400000000001</v>
      </c>
    </row>
    <row r="85" spans="1:4" x14ac:dyDescent="0.3">
      <c r="A85" s="7" t="s">
        <v>73</v>
      </c>
      <c r="B85" s="8">
        <v>6427.2</v>
      </c>
      <c r="C85" s="8">
        <v>10844.6</v>
      </c>
      <c r="D85" s="8">
        <v>11697.9</v>
      </c>
    </row>
    <row r="86" spans="1:4" x14ac:dyDescent="0.3">
      <c r="A86" s="5" t="s">
        <v>74</v>
      </c>
      <c r="B86" s="6">
        <v>53543.8</v>
      </c>
      <c r="C86" s="6">
        <v>53575.6</v>
      </c>
      <c r="D86" s="6">
        <v>61551.3</v>
      </c>
    </row>
    <row r="87" spans="1:4" x14ac:dyDescent="0.3">
      <c r="A87" s="7" t="s">
        <v>75</v>
      </c>
      <c r="B87" s="8">
        <v>3087.1</v>
      </c>
      <c r="C87" s="8">
        <v>4117</v>
      </c>
      <c r="D87" s="8">
        <v>7331.8</v>
      </c>
    </row>
    <row r="88" spans="1:4" x14ac:dyDescent="0.3">
      <c r="A88" s="9" t="s">
        <v>76</v>
      </c>
      <c r="B88" s="10">
        <f>SUM(B81:B87)</f>
        <v>199063.80000000002</v>
      </c>
      <c r="C88" s="10">
        <f>SUM(C81:C87)</f>
        <v>169837.7</v>
      </c>
      <c r="D88" s="10">
        <f>SUM(D81:D87)</f>
        <v>181942.09999999998</v>
      </c>
    </row>
    <row r="89" spans="1:4" x14ac:dyDescent="0.3">
      <c r="A89" s="7" t="s">
        <v>77</v>
      </c>
      <c r="B89" s="8">
        <v>6.2</v>
      </c>
      <c r="C89" s="8">
        <v>6.3</v>
      </c>
      <c r="D89" s="27" t="s">
        <v>101</v>
      </c>
    </row>
    <row r="90" spans="1:4" x14ac:dyDescent="0.3">
      <c r="A90" s="9" t="s">
        <v>78</v>
      </c>
      <c r="B90" s="10">
        <f>SUM(B78+B88+B89)</f>
        <v>214281.20000000004</v>
      </c>
      <c r="C90" s="10">
        <f>SUM(C78+C88+C89)</f>
        <v>183569.1</v>
      </c>
      <c r="D90" s="10">
        <f>SUM(D78+D88)</f>
        <v>196146.3</v>
      </c>
    </row>
    <row r="91" spans="1:4" x14ac:dyDescent="0.3">
      <c r="A91" s="9" t="s">
        <v>79</v>
      </c>
      <c r="B91" s="10">
        <f>SUM(B67+B90)</f>
        <v>807435.90000000014</v>
      </c>
      <c r="C91" s="10">
        <f>SUM(C67+C90)</f>
        <v>854628.79999999993</v>
      </c>
      <c r="D91" s="10">
        <f>SUM(D67+D90)</f>
        <v>921005.8</v>
      </c>
    </row>
    <row r="92" spans="1:4" x14ac:dyDescent="0.3">
      <c r="A92" s="29" t="s">
        <v>120</v>
      </c>
      <c r="B92" s="30" t="s">
        <v>119</v>
      </c>
      <c r="C92" s="30" t="s">
        <v>119</v>
      </c>
      <c r="D92" s="30" t="s">
        <v>119</v>
      </c>
    </row>
    <row r="94" spans="1:4" ht="18" customHeight="1" x14ac:dyDescent="0.3">
      <c r="A94" s="38" t="s">
        <v>138</v>
      </c>
      <c r="B94" s="39"/>
      <c r="C94" s="39"/>
      <c r="D94" s="39"/>
    </row>
    <row r="95" spans="1:4" x14ac:dyDescent="0.3">
      <c r="A95" s="16" t="s">
        <v>102</v>
      </c>
      <c r="B95" s="23"/>
      <c r="C95" s="23"/>
      <c r="D95" s="23"/>
    </row>
    <row r="96" spans="1:4" x14ac:dyDescent="0.3">
      <c r="A96" s="7" t="s">
        <v>80</v>
      </c>
      <c r="B96" s="8">
        <v>94084.3</v>
      </c>
      <c r="C96" s="8">
        <v>110878.9</v>
      </c>
      <c r="D96" s="8">
        <v>137521.29999999999</v>
      </c>
    </row>
    <row r="97" spans="1:4" x14ac:dyDescent="0.3">
      <c r="A97" s="5" t="s">
        <v>81</v>
      </c>
      <c r="B97" s="6">
        <v>25294.3</v>
      </c>
      <c r="C97" s="6">
        <v>25566.400000000001</v>
      </c>
      <c r="D97" s="6">
        <v>25753.9</v>
      </c>
    </row>
    <row r="98" spans="1:4" x14ac:dyDescent="0.3">
      <c r="A98" s="7" t="s">
        <v>82</v>
      </c>
      <c r="B98" s="8">
        <v>1720</v>
      </c>
      <c r="C98" s="8">
        <v>2384.6999999999998</v>
      </c>
      <c r="D98" s="8">
        <v>2313.6</v>
      </c>
    </row>
    <row r="99" spans="1:4" x14ac:dyDescent="0.3">
      <c r="A99" s="5" t="s">
        <v>83</v>
      </c>
      <c r="B99" s="6">
        <v>-3845.4</v>
      </c>
      <c r="C99" s="6">
        <v>-10229.1</v>
      </c>
      <c r="D99" s="6">
        <v>-12301.3</v>
      </c>
    </row>
    <row r="100" spans="1:4" x14ac:dyDescent="0.3">
      <c r="A100" s="5" t="s">
        <v>104</v>
      </c>
      <c r="B100" s="6">
        <v>4056.7</v>
      </c>
      <c r="C100" s="6">
        <v>-2178</v>
      </c>
      <c r="D100" s="6">
        <v>-4562.6000000000004</v>
      </c>
    </row>
    <row r="101" spans="1:4" x14ac:dyDescent="0.3">
      <c r="A101" s="24" t="s">
        <v>84</v>
      </c>
      <c r="B101" s="28">
        <f>SUM(B96:B100)</f>
        <v>121309.90000000001</v>
      </c>
      <c r="C101" s="28">
        <f>SUM(C96:C100)</f>
        <v>126422.9</v>
      </c>
      <c r="D101" s="28">
        <f>SUM(D96:D100)</f>
        <v>148724.9</v>
      </c>
    </row>
    <row r="102" spans="1:4" x14ac:dyDescent="0.3">
      <c r="A102" s="16" t="s">
        <v>85</v>
      </c>
      <c r="B102" s="23"/>
      <c r="C102" s="23"/>
      <c r="D102" s="23"/>
    </row>
    <row r="103" spans="1:4" x14ac:dyDescent="0.3">
      <c r="A103" s="7" t="s">
        <v>105</v>
      </c>
      <c r="B103" s="8">
        <v>-12022</v>
      </c>
      <c r="C103" s="8">
        <v>5988.1</v>
      </c>
      <c r="D103" s="8">
        <v>-1839.7</v>
      </c>
    </row>
    <row r="104" spans="1:4" x14ac:dyDescent="0.3">
      <c r="A104" s="5" t="s">
        <v>106</v>
      </c>
      <c r="B104" s="6">
        <v>-9531.7000000000007</v>
      </c>
      <c r="C104" s="6">
        <v>3528.9</v>
      </c>
      <c r="D104" s="6">
        <v>-16020.5</v>
      </c>
    </row>
    <row r="105" spans="1:4" x14ac:dyDescent="0.3">
      <c r="A105" s="7" t="s">
        <v>107</v>
      </c>
      <c r="B105" s="8">
        <v>11823.7</v>
      </c>
      <c r="C105" s="8">
        <v>2497.1999999999998</v>
      </c>
      <c r="D105" s="8">
        <v>5279.7</v>
      </c>
    </row>
    <row r="106" spans="1:4" x14ac:dyDescent="0.3">
      <c r="A106" s="7" t="s">
        <v>108</v>
      </c>
      <c r="B106" s="8">
        <v>-2158.1</v>
      </c>
      <c r="C106" s="8">
        <v>-3839</v>
      </c>
      <c r="D106" s="8">
        <v>-593.20000000000005</v>
      </c>
    </row>
    <row r="107" spans="1:4" x14ac:dyDescent="0.3">
      <c r="A107" s="7" t="s">
        <v>109</v>
      </c>
      <c r="B107" s="8">
        <v>-6691.5</v>
      </c>
      <c r="C107" s="8">
        <v>2409.1999999999998</v>
      </c>
      <c r="D107" s="8">
        <v>1820.3</v>
      </c>
    </row>
    <row r="108" spans="1:4" x14ac:dyDescent="0.3">
      <c r="A108" s="18" t="s">
        <v>110</v>
      </c>
      <c r="B108" s="8">
        <v>-38038.6</v>
      </c>
      <c r="C108" s="8">
        <v>36.9</v>
      </c>
      <c r="D108" s="8">
        <v>8117.8</v>
      </c>
    </row>
    <row r="109" spans="1:4" x14ac:dyDescent="0.3">
      <c r="A109" s="16" t="s">
        <v>86</v>
      </c>
      <c r="B109" s="31">
        <f>SUM(B101:B108)</f>
        <v>64691.700000000004</v>
      </c>
      <c r="C109" s="31">
        <f>SUM(C101:C108)</f>
        <v>137044.20000000001</v>
      </c>
      <c r="D109" s="31">
        <f>SUM(D101:D108)</f>
        <v>145489.29999999996</v>
      </c>
    </row>
    <row r="110" spans="1:4" x14ac:dyDescent="0.3">
      <c r="A110" s="7" t="s">
        <v>87</v>
      </c>
      <c r="B110" s="8">
        <v>-15098.4</v>
      </c>
      <c r="C110" s="8">
        <v>-15694.4</v>
      </c>
      <c r="D110" s="8">
        <v>-4768.3999999999996</v>
      </c>
    </row>
    <row r="111" spans="1:4" x14ac:dyDescent="0.3">
      <c r="A111" s="9" t="s">
        <v>103</v>
      </c>
      <c r="B111" s="10">
        <f>SUM(B109:B110)</f>
        <v>49593.3</v>
      </c>
      <c r="C111" s="10">
        <f>SUM(C109:C110)</f>
        <v>121349.80000000002</v>
      </c>
      <c r="D111" s="10">
        <f>SUM(D109:D110)</f>
        <v>140720.89999999997</v>
      </c>
    </row>
    <row r="112" spans="1:4" x14ac:dyDescent="0.3">
      <c r="A112" s="7"/>
      <c r="B112" s="32"/>
      <c r="C112" s="32"/>
      <c r="D112" s="32"/>
    </row>
    <row r="113" spans="1:4" x14ac:dyDescent="0.3">
      <c r="A113" s="16" t="s">
        <v>111</v>
      </c>
      <c r="B113" s="23"/>
      <c r="C113" s="23"/>
      <c r="D113" s="23"/>
    </row>
    <row r="114" spans="1:4" x14ac:dyDescent="0.3">
      <c r="A114" s="7" t="s">
        <v>88</v>
      </c>
      <c r="B114" s="8">
        <v>-20855.8</v>
      </c>
      <c r="C114" s="8">
        <v>-22018.1</v>
      </c>
      <c r="D114" s="8">
        <v>-21285.8</v>
      </c>
    </row>
    <row r="115" spans="1:4" x14ac:dyDescent="0.3">
      <c r="A115" s="5" t="s">
        <v>89</v>
      </c>
      <c r="B115" s="6">
        <v>210.1</v>
      </c>
      <c r="C115" s="6">
        <v>308.39999999999998</v>
      </c>
      <c r="D115" s="6">
        <v>610.1</v>
      </c>
    </row>
    <row r="116" spans="1:4" x14ac:dyDescent="0.3">
      <c r="A116" s="7" t="s">
        <v>90</v>
      </c>
      <c r="B116" s="8">
        <v>-219642.3</v>
      </c>
      <c r="C116" s="8">
        <v>-290910.40000000002</v>
      </c>
      <c r="D116" s="8">
        <v>-323087</v>
      </c>
    </row>
    <row r="117" spans="1:4" x14ac:dyDescent="0.3">
      <c r="A117" s="5" t="s">
        <v>91</v>
      </c>
      <c r="B117" s="6">
        <v>208968.4</v>
      </c>
      <c r="C117" s="6">
        <v>300944.7</v>
      </c>
      <c r="D117" s="6">
        <v>294175.40000000002</v>
      </c>
    </row>
    <row r="118" spans="1:4" x14ac:dyDescent="0.3">
      <c r="A118" s="5" t="s">
        <v>112</v>
      </c>
      <c r="B118" s="6">
        <v>-46858.2</v>
      </c>
      <c r="C118" s="6">
        <v>-1433.2</v>
      </c>
      <c r="D118" s="6">
        <v>-2728.3</v>
      </c>
    </row>
    <row r="119" spans="1:4" x14ac:dyDescent="0.3">
      <c r="A119" s="7" t="s">
        <v>92</v>
      </c>
      <c r="B119" s="8">
        <v>3179.3</v>
      </c>
      <c r="C119" s="8">
        <v>6132</v>
      </c>
      <c r="D119" s="8">
        <v>8037.5</v>
      </c>
    </row>
    <row r="120" spans="1:4" x14ac:dyDescent="0.3">
      <c r="A120" s="5" t="s">
        <v>93</v>
      </c>
      <c r="B120" s="6">
        <v>1324</v>
      </c>
      <c r="C120" s="6">
        <v>991.4</v>
      </c>
      <c r="D120" s="6">
        <v>660.2</v>
      </c>
    </row>
    <row r="121" spans="1:4" x14ac:dyDescent="0.3">
      <c r="A121" s="5" t="s">
        <v>113</v>
      </c>
      <c r="B121" s="6">
        <v>-5762.3</v>
      </c>
      <c r="C121" s="6">
        <v>-916.8</v>
      </c>
      <c r="D121" s="6">
        <v>-9443.7000000000007</v>
      </c>
    </row>
    <row r="122" spans="1:4" x14ac:dyDescent="0.3">
      <c r="A122" s="9" t="s">
        <v>114</v>
      </c>
      <c r="B122" s="10">
        <f>SUM(B114:B121)</f>
        <v>-79436.800000000003</v>
      </c>
      <c r="C122" s="10">
        <f>SUM(C114:C121)</f>
        <v>-6902.0000000000246</v>
      </c>
      <c r="D122" s="10">
        <f>SUM(D114:D121)</f>
        <v>-53061.599999999991</v>
      </c>
    </row>
    <row r="123" spans="1:4" x14ac:dyDescent="0.3">
      <c r="A123" s="5"/>
      <c r="B123" s="14"/>
      <c r="C123" s="14"/>
      <c r="D123" s="14"/>
    </row>
    <row r="124" spans="1:4" x14ac:dyDescent="0.3">
      <c r="A124" s="24" t="s">
        <v>115</v>
      </c>
      <c r="B124" s="25"/>
      <c r="C124" s="25"/>
      <c r="D124" s="25"/>
    </row>
    <row r="125" spans="1:4" x14ac:dyDescent="0.3">
      <c r="A125" s="5" t="s">
        <v>94</v>
      </c>
      <c r="B125" s="6">
        <v>81597.8</v>
      </c>
      <c r="C125" s="6">
        <v>45726.5</v>
      </c>
      <c r="D125" s="6">
        <v>33617</v>
      </c>
    </row>
    <row r="126" spans="1:4" x14ac:dyDescent="0.3">
      <c r="A126" s="7" t="s">
        <v>95</v>
      </c>
      <c r="B126" s="8">
        <v>-28996.3</v>
      </c>
      <c r="C126" s="8">
        <v>-81055.899999999994</v>
      </c>
      <c r="D126" s="8">
        <v>-43438.400000000001</v>
      </c>
    </row>
    <row r="127" spans="1:4" x14ac:dyDescent="0.3">
      <c r="A127" s="5" t="s">
        <v>96</v>
      </c>
      <c r="B127" s="6">
        <v>-1013.8</v>
      </c>
      <c r="C127" s="6">
        <v>-1231</v>
      </c>
      <c r="D127" s="6">
        <v>-1345.1</v>
      </c>
    </row>
    <row r="128" spans="1:4" x14ac:dyDescent="0.3">
      <c r="A128" s="7" t="s">
        <v>97</v>
      </c>
      <c r="B128" s="8">
        <v>-25188.799999999999</v>
      </c>
      <c r="C128" s="8">
        <v>-28981.7</v>
      </c>
      <c r="D128" s="8">
        <v>-36139.699999999997</v>
      </c>
    </row>
    <row r="129" spans="1:4" x14ac:dyDescent="0.3">
      <c r="A129" s="5" t="s">
        <v>117</v>
      </c>
      <c r="B129" s="6">
        <v>-1324.8</v>
      </c>
      <c r="C129" s="6">
        <v>-2190.3000000000002</v>
      </c>
      <c r="D129" s="6">
        <v>-2238.1999999999998</v>
      </c>
    </row>
    <row r="130" spans="1:4" x14ac:dyDescent="0.3">
      <c r="A130" s="7" t="s">
        <v>116</v>
      </c>
      <c r="B130" s="8">
        <v>-1313.4</v>
      </c>
      <c r="C130" s="8">
        <v>630.79999999999995</v>
      </c>
      <c r="D130" s="8">
        <v>-29513.8</v>
      </c>
    </row>
    <row r="131" spans="1:4" x14ac:dyDescent="0.3">
      <c r="A131" s="20" t="s">
        <v>139</v>
      </c>
      <c r="B131" s="10">
        <f>SUM(B125:B130)</f>
        <v>23760.699999999997</v>
      </c>
      <c r="C131" s="10">
        <f>SUM(C125:C130)</f>
        <v>-67101.599999999991</v>
      </c>
      <c r="D131" s="10">
        <f>SUM(D125:D130)</f>
        <v>-79058.2</v>
      </c>
    </row>
    <row r="132" spans="1:4" x14ac:dyDescent="0.3">
      <c r="A132" s="7"/>
      <c r="B132" s="32"/>
      <c r="C132" s="32"/>
      <c r="D132" s="32"/>
    </row>
    <row r="133" spans="1:4" x14ac:dyDescent="0.3">
      <c r="A133" s="16" t="s">
        <v>98</v>
      </c>
      <c r="B133" s="31">
        <f>SUM(B111+B122+B131)</f>
        <v>-6082.8000000000029</v>
      </c>
      <c r="C133" s="31">
        <f>SUM(C111+C122+C131)</f>
        <v>47346.2</v>
      </c>
      <c r="D133" s="31">
        <f>SUM(D111+D122+D131)</f>
        <v>8601.0999999999767</v>
      </c>
    </row>
    <row r="134" spans="1:4" x14ac:dyDescent="0.3">
      <c r="A134" s="7" t="s">
        <v>99</v>
      </c>
      <c r="B134" s="8">
        <v>45082.5</v>
      </c>
      <c r="C134" s="8">
        <v>46237.3</v>
      </c>
      <c r="D134" s="8">
        <v>92856.5</v>
      </c>
    </row>
    <row r="135" spans="1:4" x14ac:dyDescent="0.3">
      <c r="A135" s="9" t="s">
        <v>100</v>
      </c>
      <c r="B135" s="10">
        <v>46237.3</v>
      </c>
      <c r="C135" s="10">
        <v>92856.5</v>
      </c>
      <c r="D135" s="10">
        <v>102687.7</v>
      </c>
    </row>
    <row r="136" spans="1:4" x14ac:dyDescent="0.3">
      <c r="A136" s="29" t="s">
        <v>118</v>
      </c>
      <c r="B136" s="30" t="s">
        <v>119</v>
      </c>
      <c r="C136" s="30" t="s">
        <v>119</v>
      </c>
      <c r="D136" s="30" t="s">
        <v>119</v>
      </c>
    </row>
    <row r="138" spans="1:4" ht="18" customHeight="1" x14ac:dyDescent="0.3">
      <c r="A138" s="40" t="s">
        <v>140</v>
      </c>
      <c r="B138" s="41"/>
      <c r="C138" s="41"/>
      <c r="D138" s="41"/>
    </row>
    <row r="139" spans="1:4" ht="25.8" x14ac:dyDescent="0.5">
      <c r="A139" s="33" t="s">
        <v>126</v>
      </c>
      <c r="B139" s="18"/>
      <c r="C139" s="18"/>
      <c r="D139" s="18"/>
    </row>
    <row r="140" spans="1:4" ht="17.399999999999999" x14ac:dyDescent="0.3">
      <c r="A140" s="34" t="s">
        <v>127</v>
      </c>
      <c r="B140" s="18">
        <f>B57/B88</f>
        <v>2.0024705647134233</v>
      </c>
      <c r="C140" s="18">
        <f t="shared" ref="C140:D140" si="2">C57/C88</f>
        <v>2.5573303218307828</v>
      </c>
      <c r="D140" s="18">
        <f t="shared" si="2"/>
        <v>2.8907031412740647</v>
      </c>
    </row>
    <row r="141" spans="1:4" ht="17.399999999999999" x14ac:dyDescent="0.3">
      <c r="A141" s="34" t="s">
        <v>128</v>
      </c>
      <c r="B141" s="18">
        <f>B111/B88</f>
        <v>0.24913269012246325</v>
      </c>
      <c r="C141" s="18">
        <f t="shared" ref="C141:D141" si="3">C111/C88</f>
        <v>0.71450449458512455</v>
      </c>
      <c r="D141" s="18">
        <f t="shared" si="3"/>
        <v>0.77343781345823748</v>
      </c>
    </row>
    <row r="142" spans="1:4" ht="25.8" x14ac:dyDescent="0.5">
      <c r="A142" s="33" t="s">
        <v>129</v>
      </c>
      <c r="B142" s="18"/>
      <c r="C142" s="18"/>
      <c r="D142" s="18"/>
    </row>
    <row r="143" spans="1:4" ht="17.399999999999999" x14ac:dyDescent="0.3">
      <c r="A143" s="34" t="s">
        <v>132</v>
      </c>
      <c r="B143" s="18">
        <f>(B81+B71)/B67</f>
        <v>0.10449011025285646</v>
      </c>
      <c r="C143" s="18">
        <f t="shared" ref="C143:D143" si="4">(C81+C71)/C67</f>
        <v>4.2405914108685112E-2</v>
      </c>
      <c r="D143" s="18">
        <f t="shared" si="4"/>
        <v>2.5792998505227559E-2</v>
      </c>
    </row>
    <row r="144" spans="1:4" ht="17.399999999999999" x14ac:dyDescent="0.3">
      <c r="A144" s="34" t="s">
        <v>133</v>
      </c>
      <c r="B144" s="18">
        <f>B18/B11</f>
        <v>52.011104651162817</v>
      </c>
      <c r="C144" s="18">
        <f t="shared" ref="C144:D144" si="5">C18/C11</f>
        <v>41.817293579905225</v>
      </c>
      <c r="D144" s="18">
        <f t="shared" si="5"/>
        <v>51.946965767634879</v>
      </c>
    </row>
    <row r="145" spans="1:4" ht="25.8" x14ac:dyDescent="0.5">
      <c r="A145" s="33" t="s">
        <v>130</v>
      </c>
      <c r="B145" s="18"/>
      <c r="C145" s="18"/>
      <c r="D145" s="18"/>
    </row>
    <row r="146" spans="1:4" ht="15.6" x14ac:dyDescent="0.3">
      <c r="A146" s="35" t="s">
        <v>134</v>
      </c>
      <c r="B146" s="18">
        <f>(B23/B67)*100</f>
        <v>14.285649258110912</v>
      </c>
      <c r="C146" s="18">
        <f t="shared" ref="C146:D146" si="6">(C23/C67)*100</f>
        <v>14.270563408888956</v>
      </c>
      <c r="D146" s="18">
        <f t="shared" si="6"/>
        <v>15.077404655660853</v>
      </c>
    </row>
    <row r="147" spans="1:4" ht="25.8" x14ac:dyDescent="0.5">
      <c r="A147" s="33" t="s">
        <v>131</v>
      </c>
      <c r="B147" s="18"/>
      <c r="C147" s="18"/>
      <c r="D147" s="18"/>
    </row>
    <row r="148" spans="1:4" ht="15.6" x14ac:dyDescent="0.3">
      <c r="A148" s="35" t="s">
        <v>142</v>
      </c>
      <c r="B148" s="18">
        <f>(B48/B4)*365</f>
        <v>87.43770747086522</v>
      </c>
      <c r="C148" s="18">
        <f t="shared" ref="C148:D148" si="7">(C48/C4)*365</f>
        <v>74.271336179566305</v>
      </c>
      <c r="D148" s="18">
        <f t="shared" si="7"/>
        <v>71.109288331871383</v>
      </c>
    </row>
    <row r="149" spans="1:4" ht="15.6" x14ac:dyDescent="0.3">
      <c r="A149" s="35" t="s">
        <v>143</v>
      </c>
      <c r="B149" s="18">
        <f>(B51/B4)*365</f>
        <v>95.134817325378123</v>
      </c>
      <c r="C149" s="18">
        <f t="shared" ref="C149:D149" si="8">(C51/C4)*365</f>
        <v>84.665706123181195</v>
      </c>
      <c r="D149" s="18">
        <f t="shared" si="8"/>
        <v>90.56621212040524</v>
      </c>
    </row>
    <row r="150" spans="1:4" ht="15.6" x14ac:dyDescent="0.3">
      <c r="A150" s="35" t="s">
        <v>144</v>
      </c>
      <c r="B150" s="18">
        <f>(B83/B4)*365</f>
        <v>47.253564260597074</v>
      </c>
      <c r="C150" s="18">
        <f t="shared" ref="C150:D150" si="9">(C83/C4)*365</f>
        <v>42.548217049148555</v>
      </c>
      <c r="D150" s="18">
        <f t="shared" si="9"/>
        <v>42.931743505512905</v>
      </c>
    </row>
    <row r="151" spans="1:4" ht="15" customHeight="1" x14ac:dyDescent="0.3">
      <c r="A151" s="35" t="s">
        <v>135</v>
      </c>
      <c r="B151" s="18">
        <f>B148+B149-B150</f>
        <v>135.31896053564626</v>
      </c>
      <c r="C151" s="18">
        <f t="shared" ref="C151:D151" si="10">C148+C149-C150</f>
        <v>116.38882525359895</v>
      </c>
      <c r="D151" s="18">
        <f t="shared" si="10"/>
        <v>118.74375694676371</v>
      </c>
    </row>
    <row r="153" spans="1:4" ht="15.6" x14ac:dyDescent="0.3">
      <c r="A153" s="43" t="s">
        <v>145</v>
      </c>
      <c r="B153" s="43"/>
      <c r="C153" s="43"/>
      <c r="D153" s="43"/>
    </row>
  </sheetData>
  <mergeCells count="6">
    <mergeCell ref="A153:D153"/>
    <mergeCell ref="A94:D94"/>
    <mergeCell ref="A138:D138"/>
    <mergeCell ref="A3:D3"/>
    <mergeCell ref="A29:D29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SunPharma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Mayank Agarwal</cp:lastModifiedBy>
  <dcterms:created xsi:type="dcterms:W3CDTF">2026-06-17T18:15:39Z</dcterms:created>
  <dcterms:modified xsi:type="dcterms:W3CDTF">2026-06-19T00:54:01Z</dcterms:modified>
</cp:coreProperties>
</file>