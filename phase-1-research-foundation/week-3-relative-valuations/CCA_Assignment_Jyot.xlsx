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764ecc843ca7975/Documents/"/>
    </mc:Choice>
  </mc:AlternateContent>
  <xr:revisionPtr revIDLastSave="0" documentId="8_{F6D5AEB4-A820-49E7-9322-A2CCA55079B4}" xr6:coauthVersionLast="47" xr6:coauthVersionMax="47" xr10:uidLastSave="{00000000-0000-0000-0000-000000000000}"/>
  <bookViews>
    <workbookView xWindow="-108" yWindow="-108" windowWidth="23256" windowHeight="12456" tabRatio="500" firstSheet="1" activeTab="4" xr2:uid="{00000000-000D-0000-FFFF-FFFF00000000}"/>
  </bookViews>
  <sheets>
    <sheet name="Cover" sheetId="1" r:id="rId1"/>
    <sheet name="A. Company Overview" sheetId="2" r:id="rId2"/>
    <sheet name="B. Peer Selection" sheetId="3" r:id="rId3"/>
    <sheet name="C. Financial Data" sheetId="4" r:id="rId4"/>
    <sheet name="D. Trading Multiples" sheetId="5" r:id="rId5"/>
    <sheet name="E. Benchmarking" sheetId="6" r:id="rId6"/>
    <sheet name="F. Valuation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7" l="1"/>
  <c r="C12" i="7"/>
  <c r="C11" i="7"/>
  <c r="E23" i="7" s="1"/>
  <c r="C10" i="7"/>
  <c r="C9" i="7"/>
  <c r="C8" i="7"/>
  <c r="C7" i="7"/>
  <c r="C6" i="7"/>
  <c r="C5" i="7"/>
  <c r="F14" i="6"/>
  <c r="G8" i="6"/>
  <c r="L10" i="5"/>
  <c r="K10" i="5"/>
  <c r="J10" i="5"/>
  <c r="I10" i="5"/>
  <c r="H10" i="5"/>
  <c r="G10" i="5"/>
  <c r="F10" i="5"/>
  <c r="L9" i="5"/>
  <c r="K9" i="5"/>
  <c r="J9" i="5"/>
  <c r="I9" i="5"/>
  <c r="H9" i="5"/>
  <c r="G9" i="5"/>
  <c r="F9" i="5"/>
  <c r="G10" i="6" s="1"/>
  <c r="L8" i="5"/>
  <c r="K8" i="5"/>
  <c r="J8" i="5"/>
  <c r="I8" i="5"/>
  <c r="H8" i="5"/>
  <c r="F8" i="5"/>
  <c r="G7" i="6" s="1"/>
  <c r="L7" i="5"/>
  <c r="K7" i="5"/>
  <c r="J7" i="5"/>
  <c r="I7" i="5"/>
  <c r="H7" i="5"/>
  <c r="G7" i="5"/>
  <c r="F7" i="5"/>
  <c r="F17" i="6" s="1"/>
  <c r="E7" i="5"/>
  <c r="F9" i="6" s="1"/>
  <c r="D7" i="5"/>
  <c r="E9" i="6" s="1"/>
  <c r="C7" i="5"/>
  <c r="L6" i="5"/>
  <c r="K6" i="5"/>
  <c r="J6" i="5"/>
  <c r="I6" i="5"/>
  <c r="H6" i="5"/>
  <c r="G6" i="5"/>
  <c r="F6" i="5"/>
  <c r="F16" i="6" s="1"/>
  <c r="E6" i="5"/>
  <c r="D6" i="5"/>
  <c r="C6" i="5"/>
  <c r="L5" i="5"/>
  <c r="K5" i="5"/>
  <c r="J5" i="5"/>
  <c r="I5" i="5"/>
  <c r="H5" i="5"/>
  <c r="G5" i="5"/>
  <c r="K10" i="4"/>
  <c r="E10" i="5" s="1"/>
  <c r="F8" i="6" s="1"/>
  <c r="K9" i="4"/>
  <c r="E9" i="5" s="1"/>
  <c r="F10" i="6" s="1"/>
  <c r="H8" i="4"/>
  <c r="G8" i="5" s="1"/>
  <c r="K7" i="4"/>
  <c r="K6" i="4"/>
  <c r="H6" i="4"/>
  <c r="H5" i="4"/>
  <c r="K5" i="4" s="1"/>
  <c r="C5" i="5" l="1"/>
  <c r="E5" i="5"/>
  <c r="D5" i="5"/>
  <c r="C10" i="5"/>
  <c r="D8" i="6" s="1"/>
  <c r="F6" i="6"/>
  <c r="C18" i="7"/>
  <c r="C22" i="7" s="1"/>
  <c r="C24" i="7" s="1"/>
  <c r="C25" i="7" s="1"/>
  <c r="C26" i="7" s="1"/>
  <c r="F5" i="5"/>
  <c r="D10" i="5"/>
  <c r="E8" i="6" s="1"/>
  <c r="G6" i="6"/>
  <c r="G9" i="6"/>
  <c r="F15" i="6"/>
  <c r="C9" i="5"/>
  <c r="D9" i="5"/>
  <c r="K8" i="4"/>
  <c r="E6" i="6"/>
  <c r="C23" i="7"/>
  <c r="D23" i="7"/>
  <c r="D6" i="6"/>
  <c r="D9" i="6"/>
  <c r="D8" i="5" l="1"/>
  <c r="C8" i="5"/>
  <c r="E8" i="5"/>
  <c r="D18" i="7"/>
  <c r="D22" i="7" s="1"/>
  <c r="D24" i="7" s="1"/>
  <c r="D25" i="7" s="1"/>
  <c r="D26" i="7" s="1"/>
  <c r="E10" i="6"/>
  <c r="E18" i="7"/>
  <c r="E22" i="7" s="1"/>
  <c r="E24" i="7" s="1"/>
  <c r="E25" i="7" s="1"/>
  <c r="E26" i="7" s="1"/>
  <c r="D18" i="6"/>
  <c r="E17" i="7"/>
  <c r="E30" i="7" s="1"/>
  <c r="E31" i="7" s="1"/>
  <c r="E32" i="7" s="1"/>
  <c r="C17" i="7"/>
  <c r="C30" i="7" s="1"/>
  <c r="C31" i="7" s="1"/>
  <c r="C32" i="7" s="1"/>
  <c r="D10" i="6"/>
  <c r="C18" i="6"/>
  <c r="D17" i="7"/>
  <c r="D30" i="7" s="1"/>
  <c r="D31" i="7" s="1"/>
  <c r="D32" i="7" s="1"/>
  <c r="E17" i="6" l="1"/>
  <c r="E14" i="6"/>
  <c r="F7" i="6"/>
  <c r="E16" i="6"/>
  <c r="E15" i="6"/>
  <c r="C14" i="6"/>
  <c r="D7" i="6"/>
  <c r="C17" i="6"/>
  <c r="C15" i="6"/>
  <c r="C16" i="6"/>
  <c r="E7" i="6"/>
  <c r="D15" i="6"/>
  <c r="D17" i="6"/>
  <c r="D16" i="6"/>
  <c r="D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6" authorId="0" shapeId="0" xr:uid="{00000000-0006-0000-0100-000001000000}">
      <text>
        <r>
          <rPr>
            <sz val="10"/>
            <rFont val="Arial"/>
            <family val="2"/>
          </rPr>
          <t>Source: HP Inc. FY2025 10-K segment disclosure, approx 68/32 split of $55.3B total FY2025 net revenue.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5" authorId="0" shapeId="0" xr:uid="{00000000-0006-0000-0300-000007000000}">
      <text>
        <r>
          <rPr>
            <sz val="10"/>
            <rFont val="Arial"/>
            <family val="2"/>
          </rPr>
          <t>EV = Market Cap + Total Debt - Cash &amp; Equivalents (standard formula applied consistently across all comps). Provider-quoted EV may differ slightly due to minority-interest/preferred treatment.</t>
        </r>
      </text>
    </comment>
    <comment ref="C7" authorId="0" shapeId="0" xr:uid="{00000000-0006-0000-0300-000001000000}">
      <text>
        <r>
          <rPr>
            <sz val="10"/>
            <rFont val="Arial"/>
            <family val="2"/>
          </rPr>
          <t>Canon share price not separately available in this USD ADR data feed; shares outstanding back-derived from Net Income / EPS for internal consistency; Market Cap taken directly from source.</t>
        </r>
      </text>
    </comment>
    <comment ref="H7" authorId="0" shapeId="0" xr:uid="{00000000-0006-0000-0300-000004000000}">
      <text>
        <r>
          <rPr>
            <sz val="10"/>
            <rFont val="Arial"/>
            <family val="2"/>
          </rPr>
          <t>Market cap taken directly from source (share price not separately itemized in USD for this ADR/local listing); shares column is back-derived for reference only.</t>
        </r>
      </text>
    </comment>
    <comment ref="C9" authorId="0" shapeId="0" xr:uid="{00000000-0006-0000-0300-000002000000}">
      <text>
        <r>
          <rPr>
            <sz val="10"/>
            <rFont val="Arial"/>
            <family val="2"/>
          </rPr>
          <t>Xerox cash, debt, and equity are not directly disclosed in the cited source snapshot; derived algebraically from disclosed Debt/Equity ratio, ROE, and EV so that EV reconciles exactly to the source-quoted $4.21B.</t>
        </r>
      </text>
    </comment>
    <comment ref="H9" authorId="0" shapeId="0" xr:uid="{00000000-0006-0000-0300-000005000000}">
      <text>
        <r>
          <rPr>
            <sz val="10"/>
            <rFont val="Arial"/>
            <family val="2"/>
          </rPr>
          <t>Market cap taken directly from source (share price not separately itemized in USD for this ADR/local listing); shares column is back-derived for reference only.</t>
        </r>
      </text>
    </comment>
    <comment ref="C10" authorId="0" shapeId="0" xr:uid="{00000000-0006-0000-0300-000003000000}">
      <text>
        <r>
          <rPr>
            <sz val="10"/>
            <rFont val="Arial"/>
            <family val="2"/>
          </rPr>
          <t>Lenovo shares outstanding back-derived from Net Income / EPS given ADR/ordinary-share ratio complexity; revenue growth % sourced from a companion stockanalysis.com overview page (FY2026, ended Mar-2026) as the statistics snapshot did not disclose growth directly.</t>
        </r>
      </text>
    </comment>
    <comment ref="H10" authorId="0" shapeId="0" xr:uid="{00000000-0006-0000-0300-000006000000}">
      <text>
        <r>
          <rPr>
            <sz val="10"/>
            <rFont val="Arial"/>
            <family val="2"/>
          </rPr>
          <t>Market cap taken directly from source (share price not separately itemized in USD for this ADR/local listing); shares column is back-derived for reference only.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6" authorId="0" shapeId="0" xr:uid="{00000000-0006-0000-0400-000001000000}">
      <text>
        <r>
          <rPr>
            <sz val="10"/>
            <rFont val="Arial"/>
            <family val="2"/>
          </rPr>
          <t>Row references stockanalysis.com 'H1 FY2026' style growth figures; period basis differs slightly across peers - directionally comparable, not perfectly period-matched.</t>
        </r>
      </text>
    </comment>
    <comment ref="K7" authorId="0" shapeId="0" xr:uid="{00000000-0006-0000-0400-000002000000}">
      <text>
        <r>
          <rPr>
            <sz val="10"/>
            <rFont val="Arial"/>
            <family val="2"/>
          </rPr>
          <t>ROCE proxy = EBIT / (Book Equity + Total Debt). For Xerox (negative/near-zero equity) and companies with unusual capital structures this ratio should be read with caution.</t>
        </r>
      </text>
    </comment>
  </commentList>
</comments>
</file>

<file path=xl/sharedStrings.xml><?xml version="1.0" encoding="utf-8"?>
<sst xmlns="http://schemas.openxmlformats.org/spreadsheetml/2006/main" count="251" uniqueCount="188">
  <si>
    <t>HP INC. — COMPARABLE COMPANIES ANALYSIS</t>
  </si>
  <si>
    <t>Target Company:</t>
  </si>
  <si>
    <t>Date of Analysis:</t>
  </si>
  <si>
    <t>July 8, 2026</t>
  </si>
  <si>
    <t>Market Data As Of:</t>
  </si>
  <si>
    <t>Jul 7–8, 2026 (see individual sources for exact timestamps)</t>
  </si>
  <si>
    <t>Contents</t>
  </si>
  <si>
    <t>Sheet</t>
  </si>
  <si>
    <t>Task</t>
  </si>
  <si>
    <t>Task A — Company Overview</t>
  </si>
  <si>
    <t>Business profile, segments, geography, competitors</t>
  </si>
  <si>
    <t>Task B — Peer Selection</t>
  </si>
  <si>
    <t>Comparable company screen with inclusion/exclusion rationale</t>
  </si>
  <si>
    <t>Task C — Financial Data</t>
  </si>
  <si>
    <t>Raw financials for target + peer set, sourced</t>
  </si>
  <si>
    <t>Task D — Trading Multiples</t>
  </si>
  <si>
    <t>EV/Sales, EV/EBITDA, EV/EBIT, P/E, P/BV, growth, margins, returns, leverage</t>
  </si>
  <si>
    <t>Task E — Benchmarking</t>
  </si>
  <si>
    <t>Ranking, median/mean, outlier identification</t>
  </si>
  <si>
    <t>Task F — Valuation</t>
  </si>
  <si>
    <t>Implied HP Inc. value — Low / Base / High cases</t>
  </si>
  <si>
    <t>TASK A - HP INC. BUSINESS PROFILE</t>
  </si>
  <si>
    <t>Business Model</t>
  </si>
  <si>
    <t>HP Inc. designs, manufactures, markets, and services personal computing devices and printing systems, monetizing hardware plus a high-margin, recurring supplies/ink-and-toner annuity attached to its installed printer base. Revenue is split between Personal Systems (PCs, notebooks, workstations) and Printing (hardware + supplies), with a small Corporate Investments segment for emerging bets.</t>
  </si>
  <si>
    <t>Products &amp; Services</t>
  </si>
  <si>
    <t>Commercial &amp; consumer desktops/notebooks, workstations, thin clients, displays; home/office inkjet &amp; LaserJet printers, 3D printing, and managed print/device-as-a-service offerings; software, security, and lifecycle support services bundled with hardware sales.</t>
  </si>
  <si>
    <t>Revenue Segments (FY2025)</t>
  </si>
  <si>
    <t>Personal Systems ~68% of revenue; Printing ~32% of revenue (supplies carry materially higher margins than hardware in both segments). Fiscal 2025 total net revenue was $55.3B, up 3.2% YoY; TTM (Apr-2026) revenue is $57.4B, up 5.7% YoY, aided by AI PC refresh demand.</t>
  </si>
  <si>
    <t>Geographical Presence</t>
  </si>
  <si>
    <t>Global operations across the Americas, EMEA, and Asia-Pacific/Japan, with the U.S. as the single largest market. Manufacturing and supply chain are diversified across Asia, with some diversification out of China in recent years to manage tariff exposure.</t>
  </si>
  <si>
    <t>Industry Overview</t>
  </si>
  <si>
    <t>HP competes in mature, low-growth PC and printing hardware markets characterized by thin single-digit operating margins, commoditized components, and periodic replacement cycles (e.g., Windows refresh, AI-PC upgrade waves). Growth is now driven more by mix-shift (premium/AI PCs, commercial contracts) than unit volume.</t>
  </si>
  <si>
    <t>Major Competitors</t>
  </si>
  <si>
    <t>PCs: Dell Technologies, Lenovo Group, Apple, ASUS, Acer. Printing: Canon, Seiko Epson, Brother Industries, Xerox Holdings (post-Lexmark). HP is the #1 or #2 global player by unit share in both PCs and printers depending on the quarter and geography.</t>
  </si>
  <si>
    <t>Recent Strategic Developments</t>
  </si>
  <si>
    <t>FY2025 GAAP diluted EPS of $2.65 (down from $2.81) reflects margin pressure from input costs, offset partly by a $1.9B 'Future Ready' cost-savings program. HP announced a strategic AI partnership with OpenAI (June 2026) and continues to expand its AI PC portfolio (NVIDIA RTX Spark-powered devices) to defend PC segment share and margin.</t>
  </si>
  <si>
    <t>FY2025 Revenue Mix (illustrative)</t>
  </si>
  <si>
    <t>Segment</t>
  </si>
  <si>
    <t>Revenue ($B)</t>
  </si>
  <si>
    <t>Personal Systems</t>
  </si>
  <si>
    <t>Printing</t>
  </si>
  <si>
    <t>TASK B - COMPARABLE COMPANY SCREEN</t>
  </si>
  <si>
    <t>Company</t>
  </si>
  <si>
    <t>Ticker</t>
  </si>
  <si>
    <t>Included /
Excluded</t>
  </si>
  <si>
    <t>Reason</t>
  </si>
  <si>
    <t>Industry
Fit</t>
  </si>
  <si>
    <t>Business
Model Fit</t>
  </si>
  <si>
    <t>Dell Technologies Inc.</t>
  </si>
  <si>
    <t>DELL</t>
  </si>
  <si>
    <t>Included</t>
  </si>
  <si>
    <t>Direct PC/workstation competitor; comparable commercial hardware mix; similar low-margin, high-volume model though increasingly levered to AI servers.</t>
  </si>
  <si>
    <t>High</t>
  </si>
  <si>
    <t>Lenovo Group Ltd.</t>
  </si>
  <si>
    <t>LNVGY</t>
  </si>
  <si>
    <t>World's #1 PC OEM by unit share; near-identical Personal Systems business model and customer base to HP.</t>
  </si>
  <si>
    <t>Canon Inc.</t>
  </si>
  <si>
    <t>CAJ</t>
  </si>
  <si>
    <t>Leading printer/imaging OEM; hardware + high-margin consumables model closely mirrors HP's Printing segment.</t>
  </si>
  <si>
    <t>Seiko Epson Corp.</t>
  </si>
  <si>
    <t>6724.T</t>
  </si>
  <si>
    <t>Global inkjet printer leader; comparable supplies-driven annuity revenue model to HP Printing.</t>
  </si>
  <si>
    <t>Xerox Holdings Corp.</t>
  </si>
  <si>
    <t>XRX</t>
  </si>
  <si>
    <t>Direct printing/office-equipment competitor (post-Lexmark); included for range despite distressed financial profile - see outlier flag.</t>
  </si>
  <si>
    <t>Medium</t>
  </si>
  <si>
    <t>Apple Inc.</t>
  </si>
  <si>
    <t>AAPL</t>
  </si>
  <si>
    <t>Excluded</t>
  </si>
  <si>
    <t>Materially different business model (premium-only, vertically-integrated ecosystem, services-driven margins); market cap ~50x HP's, distorts multiples.</t>
  </si>
  <si>
    <t>Low</t>
  </si>
  <si>
    <t>Hewlett Packard Enterprise</t>
  </si>
  <si>
    <t>HPE</t>
  </si>
  <si>
    <t>Spun off from HP in 2015 into enterprise servers/networking/hybrid cloud - no meaningful overlap with HP's PC/print business today.</t>
  </si>
  <si>
    <t>Brother Industries Ltd.</t>
  </si>
  <si>
    <t>BRTHY</t>
  </si>
  <si>
    <t>Comparable printing model but heavily diversified into machine tools/industrial equipment (~40% of revenue), reducing pure-play comparability; no reliable USD financial feed at time of analysis.</t>
  </si>
  <si>
    <t>ASUSTeK Computer Inc.</t>
  </si>
  <si>
    <t>2357.TW</t>
  </si>
  <si>
    <t>PC/motherboard maker but skews consumer/gaming and components distribution; limited commercial enterprise overlap with HP.</t>
  </si>
  <si>
    <t>Final Comparable Set (5 peers): Dell Technologies, Lenovo Group, Canon, Seiko Epson, Xerox Holdings.</t>
  </si>
  <si>
    <t>Selection Criteria Applied: (i) Industry - PC hardware and/or printing/imaging OEM; (ii) Business Model - hardware sale + recurring supplies/services where applicable; (iii) Company Size - global scale peers (market cap $0.3B-$270B range, reflecting current market dispersion); (iv) Growth Profile - low-to-mid single digit core hardware growth (Dell's AI-server-driven growth is a noted outlier); (v) Profitability - thin single-to-low-double-digit operating margins typical of hardware OEMs; (vi) Geography - global, multi-region revenue base.</t>
  </si>
  <si>
    <t>TASK C - FINANCIAL DATA (ALL FIGURES IN USD MILLIONS UNLESS NOTED)</t>
  </si>
  <si>
    <t>Period /
As-of</t>
  </si>
  <si>
    <t>Currency</t>
  </si>
  <si>
    <t>Share
Price</t>
  </si>
  <si>
    <t>Shares
Out (M)</t>
  </si>
  <si>
    <t>Market
Cap</t>
  </si>
  <si>
    <t>Cash &amp;
Equiv.</t>
  </si>
  <si>
    <t>Total
Debt</t>
  </si>
  <si>
    <t>Enterprise
Value</t>
  </si>
  <si>
    <t>Revenue</t>
  </si>
  <si>
    <t>EBITDA</t>
  </si>
  <si>
    <t>EBIT</t>
  </si>
  <si>
    <t>Net
Income</t>
  </si>
  <si>
    <t>Book
Equity</t>
  </si>
  <si>
    <t>Revenue
Growth</t>
  </si>
  <si>
    <t>Source</t>
  </si>
  <si>
    <t>HP Inc. (Target)</t>
  </si>
  <si>
    <t>HPQ</t>
  </si>
  <si>
    <t>TTM Apr-2026</t>
  </si>
  <si>
    <t>USD</t>
  </si>
  <si>
    <t>stockanalysis.com/stocks/hpq, HP FY2025 10-K (SEC), accessed Jul 7-8 2026</t>
  </si>
  <si>
    <t>Dell Technologies</t>
  </si>
  <si>
    <t>TTM May-2026</t>
  </si>
  <si>
    <t>stockanalysis.com/stocks/dell, Dell FY2026 10-K (SEC), accessed Jul 7-8 2026</t>
  </si>
  <si>
    <t>CAJ (ADR)</t>
  </si>
  <si>
    <t>TTM (~Mar-2026)</t>
  </si>
  <si>
    <t>n/a</t>
  </si>
  <si>
    <t>stockanalysis.com/stocks/cajpy/statistics, accessed Jul 2026 (shares derived: Net Income / EPS)</t>
  </si>
  <si>
    <t>Xerox Holdings</t>
  </si>
  <si>
    <t>TTM (Q1'26)</t>
  </si>
  <si>
    <t>stockanalysis.com/stocks/xrx/statistics, accessed Jul 2026 (Cash, Debt, Equity derived from disclosed ratios: D/E, ROE, EV)</t>
  </si>
  <si>
    <t>Lenovo Group</t>
  </si>
  <si>
    <t>LNVGY (ADR)</t>
  </si>
  <si>
    <t>TTM (~Sep-2025)</t>
  </si>
  <si>
    <t>stockanalysis.com/quote/otc/LNVGY/statistics, accessed Jul 2026 (shares derived: Net Income / EPS; growth % from stockanalysis.com FY2026 overview)</t>
  </si>
  <si>
    <t>Seiko Epson</t>
  </si>
  <si>
    <t>JPY-&gt;USD</t>
  </si>
  <si>
    <t>stockanalysis.com/quote/tyo/6724/statistics, accessed Jun 18 2026; converted at USD/JPY 162.0 (Fed H.10, early Jul 2026)</t>
  </si>
  <si>
    <t>Legend:</t>
  </si>
  <si>
    <t>Blue = hard-coded input (sourced)</t>
  </si>
  <si>
    <t>Black = formula (calculated within this sheet)</t>
  </si>
  <si>
    <t>TASK D - TRADING MULTIPLES (FORMULAS LINK TO 'C. FINANCIAL DATA')</t>
  </si>
  <si>
    <t>EV/Sales</t>
  </si>
  <si>
    <t>EV/EBITDA</t>
  </si>
  <si>
    <t>EV/EBIT</t>
  </si>
  <si>
    <t>P/E</t>
  </si>
  <si>
    <t>P/BV</t>
  </si>
  <si>
    <t>EBITDA
Margin</t>
  </si>
  <si>
    <t>ROE</t>
  </si>
  <si>
    <t>ROCE</t>
  </si>
  <si>
    <t>Debt/
Equity</t>
  </si>
  <si>
    <t>N/M = Not Meaningful (negative earnings, negative or near-zero equity, or a near-zero denominator distorting the ratio).</t>
  </si>
  <si>
    <t>TASK E - BENCHMARKING (PEERS ONLY; TARGET EXCLUDED FROM STATS)</t>
  </si>
  <si>
    <t>Ranking by EV/EBITDA (High to Low)</t>
  </si>
  <si>
    <t>Rank</t>
  </si>
  <si>
    <t>Summary Statistics - Peer Set (5 comps)</t>
  </si>
  <si>
    <t>Metric</t>
  </si>
  <si>
    <t>EV/EBIT*</t>
  </si>
  <si>
    <t>P/E*</t>
  </si>
  <si>
    <t>Median</t>
  </si>
  <si>
    <t>Mean (Average)</t>
  </si>
  <si>
    <t>Min</t>
  </si>
  <si>
    <t>Max</t>
  </si>
  <si>
    <t>Median excl. outliers (core 3)**</t>
  </si>
  <si>
    <t>* EV/EBIT and P/E medians/means computed only over comps where the ratio is numeric (Xerox's near-zero EBIT and negative earnings are excluded via ISNUMBER filter, not by hardcoding).</t>
  </si>
  <si>
    <t>** Core peer set excludes Dell (AI-server-driven re-rating, PE ~33x / EV-EBITDA ~21x - not representative of core PC/print economics) and Xerox (post-merger turnaround with negative equity/earnings - several ratios N/M).</t>
  </si>
  <si>
    <t>Outlier Identification</t>
  </si>
  <si>
    <t>EV/EBITDA ~21x and P/E ~33x are 2-4x the rest of the peer set, driven by a mid-2026 AI-server-demand re-rating and political commentary (stock +230% over the trailing year) rather than PC/print fundamentals. Retained in the full comp set for disclosure but excluded from the 'core' median used in Task F valuation.</t>
  </si>
  <si>
    <t>Negative net income, negative/near-zero book equity, and near-zero EBIT make P/E, P/BV, ROE, and EV/EBIT not meaningful (N/M). EV/EBITDA (~12x) is still usable but is elevated versus peers, reflecting the market pricing in execution/leverage risk on a small equity base post-Lexmark. Excluded from the 'core' median.</t>
  </si>
  <si>
    <t>Canon, Lenovo, Seiko Epson</t>
  </si>
  <si>
    <t>Form a tight 'core' cluster (EV/EBITDA 4.4x-6.7x; EV/Sales 0.2x-1.0x) viewed as the most representative comparables for HP's mature, hardware+consumables economics.</t>
  </si>
  <si>
    <t>TASK F - IMPLIED VALUATION OF HP INC.</t>
  </si>
  <si>
    <t>HP Inc. Financial Inputs (linked from Financial Data)</t>
  </si>
  <si>
    <t>Revenue (TTM, $M)</t>
  </si>
  <si>
    <t>EBITDA (TTM, $M)</t>
  </si>
  <si>
    <t>EBIT (TTM, $M)</t>
  </si>
  <si>
    <t>Net Income (TTM, $M)</t>
  </si>
  <si>
    <t>Total Debt ($M)</t>
  </si>
  <si>
    <t>Cash &amp; Equivalents ($M)</t>
  </si>
  <si>
    <t>Net Debt ($M)</t>
  </si>
  <si>
    <t>Diluted Shares Out (M)</t>
  </si>
  <si>
    <t>Current Share Price</t>
  </si>
  <si>
    <t>Peer Multiple Basis (core 3: Canon, Lenovo, Seiko Epson)</t>
  </si>
  <si>
    <t>Multiple</t>
  </si>
  <si>
    <t>Low (Min)</t>
  </si>
  <si>
    <t>Base (Median)</t>
  </si>
  <si>
    <t>High (Max)</t>
  </si>
  <si>
    <t>EV / Sales</t>
  </si>
  <si>
    <t>EV / EBITDA</t>
  </si>
  <si>
    <t>Implied Valuation - EV/EBITDA Method (primary)</t>
  </si>
  <si>
    <t>Base</t>
  </si>
  <si>
    <t>Implied Enterprise Value ($M)</t>
  </si>
  <si>
    <t>Less: Net Debt ($M)</t>
  </si>
  <si>
    <t>Implied Equity Value ($M)</t>
  </si>
  <si>
    <t>Implied Value per Share</t>
  </si>
  <si>
    <t>Upside / (Downside) vs. Current Price</t>
  </si>
  <si>
    <t>Cross-Check - EV/Sales Method</t>
  </si>
  <si>
    <t>Key Assumptions &amp; Methodology</t>
  </si>
  <si>
    <t>- Primary valuation method is EV/EBITDA applied to HP's TTM EBITDA, using the Low/Median/High of the 'core' 3-comp peer set (Canon, Lenovo, Seiko Epson).</t>
  </si>
  <si>
    <t>- Dell and Xerox are excluded from the multiple basis for the reasons documented in the Benchmarking sheet (AI-driven re-rating; distressed/negative-equity profile) but are shown throughout for transparency.</t>
  </si>
  <si>
    <t>- EV/Sales is used as a cross-check given HP's below-peer-average EBITDA margin (7.0% vs. peer core-set range of ~4.5%-15.3%) - it implies a higher value than EV/EBITDA, consistent with HP trading cheap on a margin-adjusted basis versus Canon/Epson.</t>
  </si>
  <si>
    <t>- Net debt is held constant across Low/Base/High cases (capital structure assumed unchanged in the near term).</t>
  </si>
  <si>
    <t>- P/E-based valuation was not used as a primary method: peer P/E multiples are distorted by Dell's AI-server re-rating (~33x) and Epson's depressed current-year earnings (~50x), producing an unrealistically high implied value; see Trading Multiples and Benchmarking sheets.</t>
  </si>
  <si>
    <t>- All figures are as of Jul 7-8, 2026 market data; results will shift with subsequent earnings releases or market moves - refresh Financial Data sheet inputs periodically.</t>
  </si>
  <si>
    <t>HP Inc.</t>
  </si>
  <si>
    <t>Sources: HP Inc. FY2025 10-K and Q4 FY25 earnings release (investor.hp.com, Nov 25 2025);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</si>
</sst>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;&quot;($&quot;#,##0.0\);\-"/>
    <numFmt numFmtId="165" formatCode="\$#,##0.00"/>
    <numFmt numFmtId="166" formatCode="#,##0;\(#,##0\);\-"/>
    <numFmt numFmtId="167" formatCode="\$#,##0;&quot;($&quot;#,##0\);\-"/>
    <numFmt numFmtId="168" formatCode="0.0%;\(0.0%\);\-"/>
    <numFmt numFmtId="169" formatCode="0.00\x"/>
  </numFmts>
  <fonts count="22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0"/>
      <color rgb="FFFFFFFF"/>
      <name val="Arial"/>
      <charset val="1"/>
    </font>
    <font>
      <i/>
      <sz val="9"/>
      <color rgb="FF404040"/>
      <name val="Arial"/>
      <charset val="1"/>
    </font>
    <font>
      <b/>
      <sz val="16"/>
      <color rgb="FFFFFFFF"/>
      <name val="Arial"/>
      <charset val="1"/>
    </font>
    <font>
      <b/>
      <sz val="10"/>
      <color rgb="FF1F3864"/>
      <name val="Arial"/>
      <charset val="1"/>
    </font>
    <font>
      <i/>
      <sz val="9"/>
      <name val="Arial"/>
      <charset val="1"/>
    </font>
    <font>
      <b/>
      <sz val="10"/>
      <name val="Cambria"/>
      <charset val="1"/>
    </font>
    <font>
      <sz val="10"/>
      <color rgb="FF0000FF"/>
      <name val="Arial"/>
      <charset val="1"/>
    </font>
    <font>
      <sz val="10"/>
      <name val="Arial"/>
      <family val="2"/>
    </font>
    <font>
      <sz val="10"/>
      <color rgb="FF000000"/>
      <name val="Arial"/>
      <charset val="1"/>
    </font>
    <font>
      <i/>
      <sz val="8"/>
      <color rgb="FF404040"/>
      <name val="Arial"/>
      <charset val="1"/>
    </font>
    <font>
      <i/>
      <sz val="9"/>
      <color rgb="FF808080"/>
      <name val="Arial"/>
      <charset val="1"/>
    </font>
    <font>
      <b/>
      <sz val="9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sz val="10"/>
      <color rgb="FF008000"/>
      <name val="Arial"/>
      <charset val="1"/>
    </font>
    <font>
      <b/>
      <sz val="11"/>
      <name val="Arial"/>
      <charset val="1"/>
    </font>
    <font>
      <b/>
      <sz val="11"/>
      <color rgb="FF1F3864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vertical="top" wrapText="1"/>
    </xf>
    <xf numFmtId="0" fontId="2" fillId="0" borderId="0" xfId="0" applyFont="1"/>
    <xf numFmtId="0" fontId="9" fillId="0" borderId="0" xfId="0" applyFont="1" applyAlignment="1">
      <alignment wrapText="1"/>
    </xf>
    <xf numFmtId="0" fontId="7" fillId="2" borderId="0" xfId="0" applyFont="1" applyFill="1"/>
    <xf numFmtId="0" fontId="6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10" fillId="0" borderId="0" xfId="0" applyFont="1"/>
    <xf numFmtId="0" fontId="11" fillId="0" borderId="0" xfId="0" applyFont="1"/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5" fillId="2" borderId="1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165" fontId="11" fillId="0" borderId="0" xfId="0" applyNumberFormat="1" applyFont="1"/>
    <xf numFmtId="166" fontId="11" fillId="0" borderId="0" xfId="0" applyNumberFormat="1" applyFont="1"/>
    <xf numFmtId="167" fontId="13" fillId="0" borderId="0" xfId="0" applyNumberFormat="1" applyFont="1"/>
    <xf numFmtId="167" fontId="11" fillId="0" borderId="0" xfId="0" applyNumberFormat="1" applyFont="1"/>
    <xf numFmtId="168" fontId="11" fillId="0" borderId="0" xfId="0" applyNumberFormat="1" applyFont="1"/>
    <xf numFmtId="0" fontId="14" fillId="0" borderId="0" xfId="0" applyFont="1" applyAlignment="1">
      <alignment vertical="top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9" fontId="19" fillId="0" borderId="0" xfId="0" applyNumberFormat="1" applyFont="1"/>
    <xf numFmtId="168" fontId="19" fillId="0" borderId="0" xfId="0" applyNumberFormat="1" applyFont="1"/>
    <xf numFmtId="0" fontId="20" fillId="0" borderId="0" xfId="0" applyFont="1"/>
    <xf numFmtId="167" fontId="19" fillId="0" borderId="0" xfId="0" applyNumberFormat="1" applyFont="1"/>
    <xf numFmtId="166" fontId="19" fillId="0" borderId="0" xfId="0" applyNumberFormat="1" applyFont="1"/>
    <xf numFmtId="165" fontId="19" fillId="0" borderId="0" xfId="0" applyNumberFormat="1" applyFont="1"/>
    <xf numFmtId="167" fontId="2" fillId="0" borderId="0" xfId="0" applyNumberFormat="1" applyFont="1"/>
    <xf numFmtId="165" fontId="21" fillId="6" borderId="0" xfId="0" applyNumberFormat="1" applyFont="1" applyFill="1"/>
    <xf numFmtId="168" fontId="13" fillId="0" borderId="0" xfId="0" applyNumberFormat="1" applyFont="1"/>
    <xf numFmtId="165" fontId="21" fillId="0" borderId="0" xfId="0" applyNumberFormat="1" applyFont="1"/>
    <xf numFmtId="164" fontId="1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HP Inc. FY2025 Revenue Mix ($B)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'A. Company Overview'!$C$15</c:f>
              <c:strCache>
                <c:ptCount val="1"/>
                <c:pt idx="0">
                  <c:v>Revenue ($B)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'A. Company Overview'!$B$16:$B$17</c:f>
              <c:strCache>
                <c:ptCount val="2"/>
                <c:pt idx="0">
                  <c:v>Personal Systems</c:v>
                </c:pt>
                <c:pt idx="1">
                  <c:v>Printing</c:v>
                </c:pt>
              </c:strCache>
            </c:strRef>
          </c:cat>
          <c:val>
            <c:numRef>
              <c:f>'A. Company Overview'!$C$16:$C$17</c:f>
              <c:numCache>
                <c:formatCode>\$#,##0.0;"($"#,##0.0\);\-</c:formatCode>
                <c:ptCount val="2"/>
                <c:pt idx="0">
                  <c:v>37.6</c:v>
                </c:pt>
                <c:pt idx="1">
                  <c:v>17.7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1-43A2-A36D-0B71AF907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45247"/>
        <c:axId val="94047804"/>
      </c:barChart>
      <c:catAx>
        <c:axId val="7324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047804"/>
        <c:crosses val="autoZero"/>
        <c:auto val="1"/>
        <c:lblAlgn val="ctr"/>
        <c:lblOffset val="100"/>
        <c:noMultiLvlLbl val="0"/>
      </c:catAx>
      <c:valAx>
        <c:axId val="940478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;&quot;($&quot;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2452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12</xdr:row>
      <xdr:rowOff>37440</xdr:rowOff>
    </xdr:from>
    <xdr:to>
      <xdr:col>11</xdr:col>
      <xdr:colOff>38880</xdr:colOff>
      <xdr:row>25</xdr:row>
      <xdr:rowOff>80640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4"/>
  <sheetViews>
    <sheetView showGridLines="0" zoomScaleNormal="100" workbookViewId="0">
      <selection activeCell="B18" sqref="B18"/>
    </sheetView>
  </sheetViews>
  <sheetFormatPr defaultColWidth="8.6640625" defaultRowHeight="14.4" x14ac:dyDescent="0.3"/>
  <cols>
    <col min="1" max="1" width="4" customWidth="1"/>
    <col min="2" max="2" width="45" customWidth="1"/>
    <col min="3" max="3" width="75" customWidth="1"/>
  </cols>
  <sheetData>
    <row r="2" spans="2:4" ht="30" customHeight="1" x14ac:dyDescent="0.3">
      <c r="B2" s="8" t="s">
        <v>0</v>
      </c>
      <c r="C2" s="8"/>
    </row>
    <row r="4" spans="2:4" x14ac:dyDescent="0.3">
      <c r="B4" s="9"/>
      <c r="C4" s="10"/>
    </row>
    <row r="5" spans="2:4" x14ac:dyDescent="0.3">
      <c r="B5" s="9" t="s">
        <v>1</v>
      </c>
      <c r="C5" s="10" t="s">
        <v>186</v>
      </c>
    </row>
    <row r="6" spans="2:4" x14ac:dyDescent="0.3">
      <c r="B6" s="9" t="s">
        <v>2</v>
      </c>
      <c r="C6" s="10" t="s">
        <v>3</v>
      </c>
    </row>
    <row r="7" spans="2:4" x14ac:dyDescent="0.3">
      <c r="B7" s="9" t="s">
        <v>4</v>
      </c>
      <c r="C7" s="10" t="s">
        <v>5</v>
      </c>
    </row>
    <row r="9" spans="2:4" ht="15.6" x14ac:dyDescent="0.3">
      <c r="B9" s="11" t="s">
        <v>6</v>
      </c>
    </row>
    <row r="10" spans="2:4" x14ac:dyDescent="0.3">
      <c r="B10" s="12" t="s">
        <v>7</v>
      </c>
      <c r="C10" s="12" t="s">
        <v>8</v>
      </c>
      <c r="D10" s="12"/>
    </row>
    <row r="11" spans="2:4" x14ac:dyDescent="0.3">
      <c r="B11" s="10" t="s">
        <v>9</v>
      </c>
      <c r="C11" s="10" t="s">
        <v>10</v>
      </c>
    </row>
    <row r="12" spans="2:4" x14ac:dyDescent="0.3">
      <c r="B12" s="10" t="s">
        <v>11</v>
      </c>
      <c r="C12" s="10" t="s">
        <v>12</v>
      </c>
    </row>
    <row r="13" spans="2:4" x14ac:dyDescent="0.3">
      <c r="B13" s="10" t="s">
        <v>13</v>
      </c>
      <c r="C13" s="10" t="s">
        <v>14</v>
      </c>
    </row>
    <row r="14" spans="2:4" x14ac:dyDescent="0.3">
      <c r="B14" s="10" t="s">
        <v>15</v>
      </c>
      <c r="C14" s="10" t="s">
        <v>16</v>
      </c>
    </row>
    <row r="15" spans="2:4" x14ac:dyDescent="0.3">
      <c r="B15" s="10" t="s">
        <v>17</v>
      </c>
      <c r="C15" s="10" t="s">
        <v>18</v>
      </c>
    </row>
    <row r="16" spans="2:4" x14ac:dyDescent="0.3">
      <c r="B16" s="10" t="s">
        <v>19</v>
      </c>
      <c r="C16" s="10" t="s">
        <v>20</v>
      </c>
    </row>
    <row r="18" spans="2:3" ht="15.6" x14ac:dyDescent="0.3">
      <c r="B18" s="11"/>
    </row>
    <row r="19" spans="2:3" ht="25.5" customHeight="1" x14ac:dyDescent="0.3">
      <c r="B19" s="7"/>
      <c r="C19" s="7"/>
    </row>
    <row r="20" spans="2:3" ht="25.5" customHeight="1" x14ac:dyDescent="0.3">
      <c r="B20" s="7"/>
      <c r="C20" s="7"/>
    </row>
    <row r="21" spans="2:3" ht="25.5" customHeight="1" x14ac:dyDescent="0.3">
      <c r="B21" s="7"/>
      <c r="C21" s="7"/>
    </row>
    <row r="22" spans="2:3" ht="25.5" customHeight="1" x14ac:dyDescent="0.3">
      <c r="B22" s="7"/>
      <c r="C22" s="7"/>
    </row>
    <row r="23" spans="2:3" ht="25.5" customHeight="1" x14ac:dyDescent="0.3">
      <c r="B23" s="7"/>
      <c r="C23" s="7"/>
    </row>
    <row r="24" spans="2:3" ht="25.5" customHeight="1" x14ac:dyDescent="0.3">
      <c r="B24" s="7"/>
      <c r="C24" s="7"/>
    </row>
  </sheetData>
  <mergeCells count="7">
    <mergeCell ref="B23:C23"/>
    <mergeCell ref="B24:C24"/>
    <mergeCell ref="B2:C2"/>
    <mergeCell ref="B19:C19"/>
    <mergeCell ref="B20:C20"/>
    <mergeCell ref="B21:C21"/>
    <mergeCell ref="B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7"/>
  <sheetViews>
    <sheetView showGridLines="0" topLeftCell="A9" zoomScaleNormal="100" workbookViewId="0">
      <selection activeCell="C21" sqref="C21"/>
    </sheetView>
  </sheetViews>
  <sheetFormatPr defaultColWidth="8.6640625" defaultRowHeight="14.4" x14ac:dyDescent="0.3"/>
  <cols>
    <col min="1" max="1" width="0.33203125" customWidth="1"/>
    <col min="2" max="2" width="28" customWidth="1"/>
    <col min="3" max="3" width="95" customWidth="1"/>
  </cols>
  <sheetData>
    <row r="2" spans="2:3" ht="21" x14ac:dyDescent="0.4">
      <c r="B2" s="6" t="s">
        <v>21</v>
      </c>
      <c r="C2" s="6"/>
    </row>
    <row r="4" spans="2:3" ht="94.5" customHeight="1" x14ac:dyDescent="0.3">
      <c r="B4" s="13" t="s">
        <v>22</v>
      </c>
      <c r="C4" s="14" t="s">
        <v>23</v>
      </c>
    </row>
    <row r="5" spans="2:3" ht="94.5" customHeight="1" x14ac:dyDescent="0.3">
      <c r="B5" s="13" t="s">
        <v>24</v>
      </c>
      <c r="C5" s="14" t="s">
        <v>25</v>
      </c>
    </row>
    <row r="6" spans="2:3" ht="94.5" customHeight="1" x14ac:dyDescent="0.3">
      <c r="B6" s="13" t="s">
        <v>26</v>
      </c>
      <c r="C6" s="14" t="s">
        <v>27</v>
      </c>
    </row>
    <row r="7" spans="2:3" ht="94.5" customHeight="1" x14ac:dyDescent="0.3">
      <c r="B7" s="13" t="s">
        <v>28</v>
      </c>
      <c r="C7" s="14" t="s">
        <v>29</v>
      </c>
    </row>
    <row r="8" spans="2:3" ht="94.5" customHeight="1" x14ac:dyDescent="0.3">
      <c r="B8" s="13" t="s">
        <v>30</v>
      </c>
      <c r="C8" s="14" t="s">
        <v>31</v>
      </c>
    </row>
    <row r="9" spans="2:3" ht="94.5" customHeight="1" x14ac:dyDescent="0.3">
      <c r="B9" s="13" t="s">
        <v>32</v>
      </c>
      <c r="C9" s="14" t="s">
        <v>33</v>
      </c>
    </row>
    <row r="10" spans="2:3" ht="94.5" customHeight="1" x14ac:dyDescent="0.3">
      <c r="B10" s="13" t="s">
        <v>34</v>
      </c>
      <c r="C10" s="14" t="s">
        <v>35</v>
      </c>
    </row>
    <row r="12" spans="2:3" ht="22.35" customHeight="1" x14ac:dyDescent="0.3">
      <c r="B12" s="5" t="s">
        <v>187</v>
      </c>
      <c r="C12" s="5"/>
    </row>
    <row r="14" spans="2:3" x14ac:dyDescent="0.3">
      <c r="B14" s="9" t="s">
        <v>36</v>
      </c>
    </row>
    <row r="15" spans="2:3" x14ac:dyDescent="0.3">
      <c r="B15" s="15" t="s">
        <v>37</v>
      </c>
      <c r="C15" s="15" t="s">
        <v>38</v>
      </c>
    </row>
    <row r="16" spans="2:3" x14ac:dyDescent="0.3">
      <c r="B16" s="16" t="s">
        <v>39</v>
      </c>
      <c r="C16" s="41">
        <v>37.6</v>
      </c>
    </row>
    <row r="17" spans="2:3" x14ac:dyDescent="0.3">
      <c r="B17" s="16" t="s">
        <v>40</v>
      </c>
      <c r="C17" s="41">
        <v>17.7</v>
      </c>
    </row>
  </sheetData>
  <mergeCells count="2">
    <mergeCell ref="B2:C2"/>
    <mergeCell ref="B12:C12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6"/>
  <sheetViews>
    <sheetView showGridLines="0" topLeftCell="A11" zoomScaleNormal="100" workbookViewId="0"/>
  </sheetViews>
  <sheetFormatPr defaultColWidth="8.6640625" defaultRowHeight="14.4" x14ac:dyDescent="0.3"/>
  <cols>
    <col min="1" max="1" width="3" customWidth="1"/>
    <col min="2" max="2" width="22" customWidth="1"/>
    <col min="3" max="3" width="12" customWidth="1"/>
    <col min="4" max="4" width="14" customWidth="1"/>
    <col min="5" max="5" width="50" customWidth="1"/>
    <col min="6" max="7" width="10" customWidth="1"/>
  </cols>
  <sheetData>
    <row r="2" spans="2:7" ht="21" x14ac:dyDescent="0.4">
      <c r="B2" s="6" t="s">
        <v>41</v>
      </c>
      <c r="C2" s="6"/>
      <c r="D2" s="6"/>
      <c r="E2" s="6"/>
      <c r="F2" s="6"/>
      <c r="G2" s="6"/>
    </row>
    <row r="4" spans="2:7" ht="26.4" x14ac:dyDescent="0.3">
      <c r="B4" s="12" t="s">
        <v>42</v>
      </c>
      <c r="C4" s="12" t="s">
        <v>43</v>
      </c>
      <c r="D4" s="12" t="s">
        <v>44</v>
      </c>
      <c r="E4" s="12" t="s">
        <v>45</v>
      </c>
      <c r="F4" s="12" t="s">
        <v>46</v>
      </c>
      <c r="G4" s="12" t="s">
        <v>47</v>
      </c>
    </row>
    <row r="5" spans="2:7" ht="48" customHeight="1" x14ac:dyDescent="0.3">
      <c r="B5" s="14" t="s">
        <v>48</v>
      </c>
      <c r="C5" s="14" t="s">
        <v>49</v>
      </c>
      <c r="D5" s="17" t="s">
        <v>50</v>
      </c>
      <c r="E5" s="14" t="s">
        <v>51</v>
      </c>
      <c r="F5" s="14" t="s">
        <v>52</v>
      </c>
      <c r="G5" s="14" t="s">
        <v>52</v>
      </c>
    </row>
    <row r="6" spans="2:7" ht="48" customHeight="1" x14ac:dyDescent="0.3">
      <c r="B6" s="14" t="s">
        <v>53</v>
      </c>
      <c r="C6" s="14" t="s">
        <v>54</v>
      </c>
      <c r="D6" s="17" t="s">
        <v>50</v>
      </c>
      <c r="E6" s="14" t="s">
        <v>55</v>
      </c>
      <c r="F6" s="14" t="s">
        <v>52</v>
      </c>
      <c r="G6" s="14" t="s">
        <v>52</v>
      </c>
    </row>
    <row r="7" spans="2:7" ht="48" customHeight="1" x14ac:dyDescent="0.3">
      <c r="B7" s="14" t="s">
        <v>56</v>
      </c>
      <c r="C7" s="14" t="s">
        <v>57</v>
      </c>
      <c r="D7" s="17" t="s">
        <v>50</v>
      </c>
      <c r="E7" s="14" t="s">
        <v>58</v>
      </c>
      <c r="F7" s="14" t="s">
        <v>52</v>
      </c>
      <c r="G7" s="14" t="s">
        <v>52</v>
      </c>
    </row>
    <row r="8" spans="2:7" ht="48" customHeight="1" x14ac:dyDescent="0.3">
      <c r="B8" s="14" t="s">
        <v>59</v>
      </c>
      <c r="C8" s="14" t="s">
        <v>60</v>
      </c>
      <c r="D8" s="17" t="s">
        <v>50</v>
      </c>
      <c r="E8" s="14" t="s">
        <v>61</v>
      </c>
      <c r="F8" s="14" t="s">
        <v>52</v>
      </c>
      <c r="G8" s="14" t="s">
        <v>52</v>
      </c>
    </row>
    <row r="9" spans="2:7" ht="48" customHeight="1" x14ac:dyDescent="0.3">
      <c r="B9" s="14" t="s">
        <v>62</v>
      </c>
      <c r="C9" s="14" t="s">
        <v>63</v>
      </c>
      <c r="D9" s="17" t="s">
        <v>50</v>
      </c>
      <c r="E9" s="14" t="s">
        <v>64</v>
      </c>
      <c r="F9" s="14" t="s">
        <v>52</v>
      </c>
      <c r="G9" s="14" t="s">
        <v>65</v>
      </c>
    </row>
    <row r="10" spans="2:7" ht="48" customHeight="1" x14ac:dyDescent="0.3">
      <c r="B10" s="14" t="s">
        <v>66</v>
      </c>
      <c r="C10" s="14" t="s">
        <v>67</v>
      </c>
      <c r="D10" s="18" t="s">
        <v>68</v>
      </c>
      <c r="E10" s="14" t="s">
        <v>69</v>
      </c>
      <c r="F10" s="14" t="s">
        <v>65</v>
      </c>
      <c r="G10" s="14" t="s">
        <v>70</v>
      </c>
    </row>
    <row r="11" spans="2:7" ht="48" customHeight="1" x14ac:dyDescent="0.3">
      <c r="B11" s="14" t="s">
        <v>71</v>
      </c>
      <c r="C11" s="14" t="s">
        <v>72</v>
      </c>
      <c r="D11" s="18" t="s">
        <v>68</v>
      </c>
      <c r="E11" s="14" t="s">
        <v>73</v>
      </c>
      <c r="F11" s="14" t="s">
        <v>70</v>
      </c>
      <c r="G11" s="14" t="s">
        <v>70</v>
      </c>
    </row>
    <row r="12" spans="2:7" ht="48" customHeight="1" x14ac:dyDescent="0.3">
      <c r="B12" s="14" t="s">
        <v>74</v>
      </c>
      <c r="C12" s="14" t="s">
        <v>75</v>
      </c>
      <c r="D12" s="18" t="s">
        <v>68</v>
      </c>
      <c r="E12" s="14" t="s">
        <v>76</v>
      </c>
      <c r="F12" s="14" t="s">
        <v>65</v>
      </c>
      <c r="G12" s="14" t="s">
        <v>65</v>
      </c>
    </row>
    <row r="13" spans="2:7" ht="48" customHeight="1" x14ac:dyDescent="0.3">
      <c r="B13" s="14" t="s">
        <v>77</v>
      </c>
      <c r="C13" s="14" t="s">
        <v>78</v>
      </c>
      <c r="D13" s="18" t="s">
        <v>68</v>
      </c>
      <c r="E13" s="14" t="s">
        <v>79</v>
      </c>
      <c r="F13" s="14" t="s">
        <v>65</v>
      </c>
      <c r="G13" s="14" t="s">
        <v>65</v>
      </c>
    </row>
    <row r="15" spans="2:7" x14ac:dyDescent="0.3">
      <c r="B15" s="4" t="s">
        <v>80</v>
      </c>
      <c r="C15" s="4"/>
      <c r="D15" s="4"/>
      <c r="E15" s="4"/>
      <c r="F15" s="4"/>
      <c r="G15" s="4"/>
    </row>
    <row r="16" spans="2:7" ht="90" customHeight="1" x14ac:dyDescent="0.3">
      <c r="B16" s="3" t="s">
        <v>81</v>
      </c>
      <c r="C16" s="3"/>
      <c r="D16" s="3"/>
      <c r="E16" s="3"/>
      <c r="F16" s="3"/>
      <c r="G16" s="3"/>
    </row>
  </sheetData>
  <mergeCells count="3">
    <mergeCell ref="B2:G2"/>
    <mergeCell ref="B15:G15"/>
    <mergeCell ref="B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4"/>
  <sheetViews>
    <sheetView showGridLines="0" topLeftCell="A6" zoomScaleNormal="100" workbookViewId="0">
      <selection activeCell="B14" sqref="B14"/>
    </sheetView>
  </sheetViews>
  <sheetFormatPr defaultColWidth="8.6640625" defaultRowHeight="14.4" x14ac:dyDescent="0.3"/>
  <cols>
    <col min="1" max="1" width="3" customWidth="1"/>
    <col min="2" max="2" width="24" customWidth="1"/>
    <col min="3" max="15" width="13" customWidth="1"/>
    <col min="16" max="16" width="12" customWidth="1"/>
    <col min="17" max="17" width="11" customWidth="1"/>
    <col min="18" max="18" width="55" customWidth="1"/>
  </cols>
  <sheetData>
    <row r="2" spans="2:18" ht="21" x14ac:dyDescent="0.4">
      <c r="B2" s="6" t="s">
        <v>82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spans="2:18" ht="31.5" customHeight="1" x14ac:dyDescent="0.3">
      <c r="B4" s="12" t="s">
        <v>42</v>
      </c>
      <c r="C4" s="12" t="s">
        <v>43</v>
      </c>
      <c r="D4" s="12" t="s">
        <v>83</v>
      </c>
      <c r="E4" s="12" t="s">
        <v>84</v>
      </c>
      <c r="F4" s="12" t="s">
        <v>85</v>
      </c>
      <c r="G4" s="12" t="s">
        <v>86</v>
      </c>
      <c r="H4" s="12" t="s">
        <v>87</v>
      </c>
      <c r="I4" s="12" t="s">
        <v>88</v>
      </c>
      <c r="J4" s="12" t="s">
        <v>89</v>
      </c>
      <c r="K4" s="12" t="s">
        <v>90</v>
      </c>
      <c r="L4" s="12" t="s">
        <v>91</v>
      </c>
      <c r="M4" s="12" t="s">
        <v>92</v>
      </c>
      <c r="N4" s="12" t="s">
        <v>93</v>
      </c>
      <c r="O4" s="12" t="s">
        <v>94</v>
      </c>
      <c r="P4" s="19" t="s">
        <v>95</v>
      </c>
      <c r="Q4" s="20" t="s">
        <v>96</v>
      </c>
      <c r="R4" s="20" t="s">
        <v>97</v>
      </c>
    </row>
    <row r="5" spans="2:18" ht="39.75" customHeight="1" x14ac:dyDescent="0.3">
      <c r="B5" s="9" t="s">
        <v>98</v>
      </c>
      <c r="C5" s="16" t="s">
        <v>99</v>
      </c>
      <c r="D5" s="16" t="s">
        <v>100</v>
      </c>
      <c r="E5" s="16" t="s">
        <v>101</v>
      </c>
      <c r="F5" s="21">
        <v>22.99</v>
      </c>
      <c r="G5" s="22">
        <v>914.52</v>
      </c>
      <c r="H5" s="23">
        <f>F5*G5</f>
        <v>21024.814799999996</v>
      </c>
      <c r="I5" s="24">
        <v>3703</v>
      </c>
      <c r="J5" s="24">
        <v>9666</v>
      </c>
      <c r="K5" s="23">
        <f t="shared" ref="K5:K10" si="0">H5+J5-I5</f>
        <v>26987.814799999996</v>
      </c>
      <c r="L5" s="24">
        <v>57417</v>
      </c>
      <c r="M5" s="24">
        <v>4038</v>
      </c>
      <c r="N5" s="24">
        <v>3046</v>
      </c>
      <c r="O5" s="24">
        <v>2553</v>
      </c>
      <c r="P5" s="24">
        <v>-144</v>
      </c>
      <c r="Q5" s="25">
        <v>5.74E-2</v>
      </c>
      <c r="R5" s="26" t="s">
        <v>102</v>
      </c>
    </row>
    <row r="6" spans="2:18" ht="39.75" customHeight="1" x14ac:dyDescent="0.3">
      <c r="B6" s="10" t="s">
        <v>103</v>
      </c>
      <c r="C6" s="16" t="s">
        <v>49</v>
      </c>
      <c r="D6" s="16" t="s">
        <v>104</v>
      </c>
      <c r="E6" s="16" t="s">
        <v>101</v>
      </c>
      <c r="F6" s="21">
        <v>417.28</v>
      </c>
      <c r="G6" s="22">
        <v>646.14</v>
      </c>
      <c r="H6" s="23">
        <f>F6*G6</f>
        <v>269621.29919999995</v>
      </c>
      <c r="I6" s="24">
        <v>11578</v>
      </c>
      <c r="J6" s="24">
        <v>31161</v>
      </c>
      <c r="K6" s="23">
        <f t="shared" si="0"/>
        <v>289204.29919999995</v>
      </c>
      <c r="L6" s="24">
        <v>134002</v>
      </c>
      <c r="M6" s="24">
        <v>13689</v>
      </c>
      <c r="N6" s="24">
        <v>10640</v>
      </c>
      <c r="O6" s="24">
        <v>8409</v>
      </c>
      <c r="P6" s="24">
        <v>-1404</v>
      </c>
      <c r="Q6" s="25">
        <v>0.38569999999999999</v>
      </c>
      <c r="R6" s="26" t="s">
        <v>105</v>
      </c>
    </row>
    <row r="7" spans="2:18" ht="39.75" customHeight="1" x14ac:dyDescent="0.3">
      <c r="B7" s="10" t="s">
        <v>56</v>
      </c>
      <c r="C7" s="16" t="s">
        <v>106</v>
      </c>
      <c r="D7" s="16" t="s">
        <v>107</v>
      </c>
      <c r="E7" s="16" t="s">
        <v>101</v>
      </c>
      <c r="G7" s="22">
        <v>924</v>
      </c>
      <c r="H7" s="24">
        <v>26080</v>
      </c>
      <c r="I7" s="24">
        <v>4750</v>
      </c>
      <c r="J7" s="24">
        <v>8150</v>
      </c>
      <c r="K7" s="23">
        <f t="shared" si="0"/>
        <v>29480</v>
      </c>
      <c r="L7" s="24">
        <v>30930</v>
      </c>
      <c r="M7" s="24">
        <v>4730</v>
      </c>
      <c r="N7" s="24">
        <v>3130</v>
      </c>
      <c r="O7" s="24">
        <v>1090</v>
      </c>
      <c r="P7" s="24">
        <v>23210</v>
      </c>
      <c r="Q7" s="27" t="s">
        <v>108</v>
      </c>
      <c r="R7" s="26" t="s">
        <v>109</v>
      </c>
    </row>
    <row r="8" spans="2:18" ht="39.75" customHeight="1" x14ac:dyDescent="0.3">
      <c r="B8" s="10" t="s">
        <v>110</v>
      </c>
      <c r="C8" s="16" t="s">
        <v>63</v>
      </c>
      <c r="D8" s="16" t="s">
        <v>111</v>
      </c>
      <c r="E8" s="16" t="s">
        <v>101</v>
      </c>
      <c r="F8" s="21">
        <v>2.65</v>
      </c>
      <c r="G8" s="22">
        <v>130.78</v>
      </c>
      <c r="H8" s="23">
        <f>F8*G8</f>
        <v>346.56700000000001</v>
      </c>
      <c r="I8" s="24">
        <v>3857</v>
      </c>
      <c r="J8" s="24">
        <v>7720</v>
      </c>
      <c r="K8" s="23">
        <f t="shared" si="0"/>
        <v>4209.567</v>
      </c>
      <c r="L8" s="24">
        <v>7410</v>
      </c>
      <c r="M8" s="24">
        <v>348</v>
      </c>
      <c r="N8" s="24">
        <v>10</v>
      </c>
      <c r="O8" s="24">
        <v>-1060</v>
      </c>
      <c r="P8" s="24">
        <v>919</v>
      </c>
      <c r="Q8" s="25">
        <v>0.1288</v>
      </c>
      <c r="R8" s="26" t="s">
        <v>112</v>
      </c>
    </row>
    <row r="9" spans="2:18" ht="39.75" customHeight="1" x14ac:dyDescent="0.3">
      <c r="B9" s="10" t="s">
        <v>113</v>
      </c>
      <c r="C9" s="16" t="s">
        <v>114</v>
      </c>
      <c r="D9" s="16" t="s">
        <v>115</v>
      </c>
      <c r="E9" s="16" t="s">
        <v>101</v>
      </c>
      <c r="G9" s="22">
        <v>13583</v>
      </c>
      <c r="H9" s="24">
        <v>14310</v>
      </c>
      <c r="I9" s="24">
        <v>5240</v>
      </c>
      <c r="J9" s="24">
        <v>4840</v>
      </c>
      <c r="K9" s="23">
        <f t="shared" si="0"/>
        <v>13910</v>
      </c>
      <c r="L9" s="24">
        <v>75060</v>
      </c>
      <c r="M9" s="24">
        <v>3350</v>
      </c>
      <c r="N9" s="24">
        <v>2290</v>
      </c>
      <c r="O9" s="24">
        <v>1630</v>
      </c>
      <c r="P9" s="24">
        <v>7490</v>
      </c>
      <c r="Q9" s="25">
        <v>0.2026</v>
      </c>
      <c r="R9" s="26" t="s">
        <v>116</v>
      </c>
    </row>
    <row r="10" spans="2:18" ht="39.75" customHeight="1" x14ac:dyDescent="0.3">
      <c r="B10" s="10" t="s">
        <v>117</v>
      </c>
      <c r="C10" s="16" t="s">
        <v>60</v>
      </c>
      <c r="D10" s="16" t="s">
        <v>107</v>
      </c>
      <c r="E10" s="16" t="s">
        <v>118</v>
      </c>
      <c r="G10" s="22">
        <v>320.43</v>
      </c>
      <c r="H10" s="24">
        <v>5568</v>
      </c>
      <c r="I10" s="24">
        <v>1781</v>
      </c>
      <c r="J10" s="24">
        <v>1429</v>
      </c>
      <c r="K10" s="23">
        <f t="shared" si="0"/>
        <v>5216</v>
      </c>
      <c r="L10" s="24">
        <v>8704</v>
      </c>
      <c r="M10" s="24">
        <v>784</v>
      </c>
      <c r="N10" s="24">
        <v>306</v>
      </c>
      <c r="O10" s="24">
        <v>112</v>
      </c>
      <c r="P10" s="24">
        <v>5269</v>
      </c>
      <c r="Q10" s="25">
        <v>3.6900000000000002E-2</v>
      </c>
      <c r="R10" s="26" t="s">
        <v>119</v>
      </c>
    </row>
    <row r="12" spans="2:18" x14ac:dyDescent="0.3">
      <c r="B12" s="28" t="s">
        <v>120</v>
      </c>
    </row>
    <row r="13" spans="2:18" x14ac:dyDescent="0.3">
      <c r="B13" s="29" t="s">
        <v>121</v>
      </c>
    </row>
    <row r="14" spans="2:18" x14ac:dyDescent="0.3">
      <c r="B14" s="30" t="s">
        <v>122</v>
      </c>
    </row>
  </sheetData>
  <mergeCells count="1">
    <mergeCell ref="B2:O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12"/>
  <sheetViews>
    <sheetView showGridLines="0" tabSelected="1" zoomScaleNormal="100" workbookViewId="0"/>
  </sheetViews>
  <sheetFormatPr defaultColWidth="8.6640625" defaultRowHeight="14.4" x14ac:dyDescent="0.3"/>
  <cols>
    <col min="1" max="1" width="3" customWidth="1"/>
    <col min="2" max="2" width="24" customWidth="1"/>
    <col min="3" max="13" width="11" customWidth="1"/>
  </cols>
  <sheetData>
    <row r="2" spans="2:13" ht="21" x14ac:dyDescent="0.4">
      <c r="B2" s="6" t="s">
        <v>123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4" spans="2:13" ht="30" customHeight="1" x14ac:dyDescent="0.3">
      <c r="B4" s="12" t="s">
        <v>42</v>
      </c>
      <c r="C4" s="12" t="s">
        <v>124</v>
      </c>
      <c r="D4" s="12" t="s">
        <v>125</v>
      </c>
      <c r="E4" s="12" t="s">
        <v>126</v>
      </c>
      <c r="F4" s="12" t="s">
        <v>127</v>
      </c>
      <c r="G4" s="12" t="s">
        <v>128</v>
      </c>
      <c r="H4" s="12" t="s">
        <v>96</v>
      </c>
      <c r="I4" s="12" t="s">
        <v>129</v>
      </c>
      <c r="J4" s="12" t="s">
        <v>130</v>
      </c>
      <c r="K4" s="12" t="s">
        <v>131</v>
      </c>
      <c r="L4" s="12" t="s">
        <v>132</v>
      </c>
    </row>
    <row r="5" spans="2:13" x14ac:dyDescent="0.3">
      <c r="B5" s="9" t="s">
        <v>98</v>
      </c>
      <c r="C5" s="31">
        <f>'C. Financial Data'!K5/'C. Financial Data'!L5</f>
        <v>0.47003178152811881</v>
      </c>
      <c r="D5" s="31">
        <f>'C. Financial Data'!K5/'C. Financial Data'!M5</f>
        <v>6.6834608221892013</v>
      </c>
      <c r="E5" s="31">
        <f>'C. Financial Data'!K5/'C. Financial Data'!N5</f>
        <v>8.8600836506894272</v>
      </c>
      <c r="F5" s="31">
        <f>IF('C. Financial Data'!O5&lt;=0,"N/M",'C. Financial Data'!H5/'C. Financial Data'!O5)</f>
        <v>8.2353367802585176</v>
      </c>
      <c r="G5" s="31" t="str">
        <f>IF('C. Financial Data'!P5&lt;=0,"N/M",'C. Financial Data'!H5/'C. Financial Data'!P5)</f>
        <v>N/M</v>
      </c>
      <c r="H5" s="32">
        <f>'C. Financial Data'!Q5</f>
        <v>5.74E-2</v>
      </c>
      <c r="I5" s="32">
        <f>'C. Financial Data'!M5/'C. Financial Data'!L5</f>
        <v>7.0327603323057625E-2</v>
      </c>
      <c r="J5" s="32" t="str">
        <f>IF('C. Financial Data'!P5&lt;=0,"N/M",'C. Financial Data'!O5/'C. Financial Data'!P5)</f>
        <v>N/M</v>
      </c>
      <c r="K5" s="32">
        <f>'C. Financial Data'!N5/('C. Financial Data'!P5+'C. Financial Data'!J5)</f>
        <v>0.31989077924805714</v>
      </c>
      <c r="L5" s="31" t="str">
        <f>IF('C. Financial Data'!P5&lt;=0,"N/M",'C. Financial Data'!J5/'C. Financial Data'!P5)</f>
        <v>N/M</v>
      </c>
    </row>
    <row r="6" spans="2:13" x14ac:dyDescent="0.3">
      <c r="B6" s="10" t="s">
        <v>103</v>
      </c>
      <c r="C6" s="31">
        <f>'C. Financial Data'!K6/'C. Financial Data'!L6</f>
        <v>2.158208826733929</v>
      </c>
      <c r="D6" s="31">
        <f>'C. Financial Data'!K6/'C. Financial Data'!M6</f>
        <v>21.126765958068518</v>
      </c>
      <c r="E6" s="31">
        <f>'C. Financial Data'!K6/'C. Financial Data'!N6</f>
        <v>27.180855187969922</v>
      </c>
      <c r="F6" s="31">
        <f>IF('C. Financial Data'!O6&lt;=0,"N/M",'C. Financial Data'!H6/'C. Financial Data'!O6)</f>
        <v>32.06342004994648</v>
      </c>
      <c r="G6" s="31" t="str">
        <f>IF('C. Financial Data'!P6&lt;=0,"N/M",'C. Financial Data'!H6/'C. Financial Data'!P6)</f>
        <v>N/M</v>
      </c>
      <c r="H6" s="32">
        <f>'C. Financial Data'!Q6</f>
        <v>0.38569999999999999</v>
      </c>
      <c r="I6" s="32">
        <f>'C. Financial Data'!M6/'C. Financial Data'!L6</f>
        <v>0.10215519171355651</v>
      </c>
      <c r="J6" s="32" t="str">
        <f>IF('C. Financial Data'!P6&lt;=0,"N/M",'C. Financial Data'!O6/'C. Financial Data'!P6)</f>
        <v>N/M</v>
      </c>
      <c r="K6" s="32">
        <f>'C. Financial Data'!N6/('C. Financial Data'!P6+'C. Financial Data'!J6)</f>
        <v>0.35756292637026582</v>
      </c>
      <c r="L6" s="31" t="str">
        <f>IF('C. Financial Data'!P6&lt;=0,"N/M",'C. Financial Data'!J6/'C. Financial Data'!P6)</f>
        <v>N/M</v>
      </c>
    </row>
    <row r="7" spans="2:13" x14ac:dyDescent="0.3">
      <c r="B7" s="10" t="s">
        <v>56</v>
      </c>
      <c r="C7" s="31">
        <f>'C. Financial Data'!K7/'C. Financial Data'!L7</f>
        <v>0.95311994827028779</v>
      </c>
      <c r="D7" s="31">
        <f>'C. Financial Data'!K7/'C. Financial Data'!M7</f>
        <v>6.2325581395348841</v>
      </c>
      <c r="E7" s="31">
        <f>'C. Financial Data'!K7/'C. Financial Data'!N7</f>
        <v>9.418530351437699</v>
      </c>
      <c r="F7" s="31">
        <f>IF('C. Financial Data'!O7&lt;=0,"N/M",'C. Financial Data'!H7/'C. Financial Data'!O7)</f>
        <v>23.926605504587155</v>
      </c>
      <c r="G7" s="31">
        <f>IF('C. Financial Data'!P7&lt;=0,"N/M",'C. Financial Data'!H7/'C. Financial Data'!P7)</f>
        <v>1.1236535975872468</v>
      </c>
      <c r="H7" s="32" t="str">
        <f>'C. Financial Data'!Q7</f>
        <v>n/a</v>
      </c>
      <c r="I7" s="32">
        <f>'C. Financial Data'!M7/'C. Financial Data'!L7</f>
        <v>0.15292596184933721</v>
      </c>
      <c r="J7" s="32">
        <f>IF('C. Financial Data'!P7&lt;=0,"N/M",'C. Financial Data'!O7/'C. Financial Data'!P7)</f>
        <v>4.6962516156828955E-2</v>
      </c>
      <c r="K7" s="32">
        <f>'C. Financial Data'!N7/('C. Financial Data'!P7+'C. Financial Data'!J7)</f>
        <v>9.9808673469387751E-2</v>
      </c>
      <c r="L7" s="31">
        <f>IF('C. Financial Data'!P7&lt;=0,"N/M",'C. Financial Data'!J7/'C. Financial Data'!P7)</f>
        <v>0.35114174924601466</v>
      </c>
    </row>
    <row r="8" spans="2:13" x14ac:dyDescent="0.3">
      <c r="B8" s="10" t="s">
        <v>110</v>
      </c>
      <c r="C8" s="31">
        <f>'C. Financial Data'!K8/'C. Financial Data'!L8</f>
        <v>0.56809271255060734</v>
      </c>
      <c r="D8" s="31">
        <f>'C. Financial Data'!K8/'C. Financial Data'!M8</f>
        <v>12.096456896551723</v>
      </c>
      <c r="E8" s="31">
        <f>'C. Financial Data'!K8/'C. Financial Data'!N8</f>
        <v>420.95670000000001</v>
      </c>
      <c r="F8" s="31" t="str">
        <f>IF('C. Financial Data'!O8&lt;=0,"N/M",'C. Financial Data'!H8/'C. Financial Data'!O8)</f>
        <v>N/M</v>
      </c>
      <c r="G8" s="31">
        <f>IF('C. Financial Data'!P8&lt;=0,"N/M",'C. Financial Data'!H8/'C. Financial Data'!P8)</f>
        <v>0.37711316648531013</v>
      </c>
      <c r="H8" s="32">
        <f>'C. Financial Data'!Q8</f>
        <v>0.1288</v>
      </c>
      <c r="I8" s="32">
        <f>'C. Financial Data'!M8/'C. Financial Data'!L8</f>
        <v>4.6963562753036439E-2</v>
      </c>
      <c r="J8" s="32">
        <f>IF('C. Financial Data'!P8&lt;=0,"N/M",'C. Financial Data'!O8/'C. Financial Data'!P8)</f>
        <v>-1.1534276387377584</v>
      </c>
      <c r="K8" s="32">
        <f>'C. Financial Data'!N8/('C. Financial Data'!P8+'C. Financial Data'!J8)</f>
        <v>1.1575413821044102E-3</v>
      </c>
      <c r="L8" s="31">
        <f>IF('C. Financial Data'!P8&lt;=0,"N/M",'C. Financial Data'!J8/'C. Financial Data'!P8)</f>
        <v>8.4004352557127309</v>
      </c>
    </row>
    <row r="9" spans="2:13" x14ac:dyDescent="0.3">
      <c r="B9" s="10" t="s">
        <v>113</v>
      </c>
      <c r="C9" s="31">
        <f>'C. Financial Data'!K9/'C. Financial Data'!L9</f>
        <v>0.18531841193711698</v>
      </c>
      <c r="D9" s="31">
        <f>'C. Financial Data'!K9/'C. Financial Data'!M9</f>
        <v>4.1522388059701489</v>
      </c>
      <c r="E9" s="31">
        <f>'C. Financial Data'!K9/'C. Financial Data'!N9</f>
        <v>6.0742358078602621</v>
      </c>
      <c r="F9" s="31">
        <f>IF('C. Financial Data'!O9&lt;=0,"N/M",'C. Financial Data'!H9/'C. Financial Data'!O9)</f>
        <v>8.779141104294478</v>
      </c>
      <c r="G9" s="31">
        <f>IF('C. Financial Data'!P9&lt;=0,"N/M",'C. Financial Data'!H9/'C. Financial Data'!P9)</f>
        <v>1.910547396528705</v>
      </c>
      <c r="H9" s="32">
        <f>'C. Financial Data'!Q9</f>
        <v>0.2026</v>
      </c>
      <c r="I9" s="32">
        <f>'C. Financial Data'!M9/'C. Financial Data'!L9</f>
        <v>4.4630961897148949E-2</v>
      </c>
      <c r="J9" s="32">
        <f>IF('C. Financial Data'!P9&lt;=0,"N/M",'C. Financial Data'!O9/'C. Financial Data'!P9)</f>
        <v>0.21762349799732977</v>
      </c>
      <c r="K9" s="32">
        <f>'C. Financial Data'!N9/('C. Financial Data'!P9+'C. Financial Data'!J9)</f>
        <v>0.18572587185725872</v>
      </c>
      <c r="L9" s="31">
        <f>IF('C. Financial Data'!P9&lt;=0,"N/M",'C. Financial Data'!J9/'C. Financial Data'!P9)</f>
        <v>0.64619492656875832</v>
      </c>
    </row>
    <row r="10" spans="2:13" x14ac:dyDescent="0.3">
      <c r="B10" s="10" t="s">
        <v>117</v>
      </c>
      <c r="C10" s="31">
        <f>'C. Financial Data'!K10/'C. Financial Data'!L10</f>
        <v>0.59926470588235292</v>
      </c>
      <c r="D10" s="31">
        <f>'C. Financial Data'!K10/'C. Financial Data'!M10</f>
        <v>6.6530612244897958</v>
      </c>
      <c r="E10" s="31">
        <f>'C. Financial Data'!K10/'C. Financial Data'!N10</f>
        <v>17.045751633986928</v>
      </c>
      <c r="F10" s="31">
        <f>IF('C. Financial Data'!O10&lt;=0,"N/M",'C. Financial Data'!H10/'C. Financial Data'!O10)</f>
        <v>49.714285714285715</v>
      </c>
      <c r="G10" s="31">
        <f>IF('C. Financial Data'!P10&lt;=0,"N/M",'C. Financial Data'!H10/'C. Financial Data'!P10)</f>
        <v>1.0567470108179919</v>
      </c>
      <c r="H10" s="32">
        <f>'C. Financial Data'!Q10</f>
        <v>3.6900000000000002E-2</v>
      </c>
      <c r="I10" s="32">
        <f>'C. Financial Data'!M10/'C. Financial Data'!L10</f>
        <v>9.0073529411764705E-2</v>
      </c>
      <c r="J10" s="32">
        <f>IF('C. Financial Data'!P10&lt;=0,"N/M",'C. Financial Data'!O10/'C. Financial Data'!P10)</f>
        <v>2.125640539001708E-2</v>
      </c>
      <c r="K10" s="32">
        <f>'C. Financial Data'!N10/('C. Financial Data'!P10+'C. Financial Data'!J10)</f>
        <v>4.5685279187817257E-2</v>
      </c>
      <c r="L10" s="31">
        <f>IF('C. Financial Data'!P10&lt;=0,"N/M",'C. Financial Data'!J10/'C. Financial Data'!P10)</f>
        <v>0.2712089580565572</v>
      </c>
    </row>
    <row r="12" spans="2:13" x14ac:dyDescent="0.3">
      <c r="B12" s="2" t="s">
        <v>133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</sheetData>
  <mergeCells count="2">
    <mergeCell ref="B2:M2"/>
    <mergeCell ref="B12:M1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26"/>
  <sheetViews>
    <sheetView showGridLines="0" topLeftCell="A19" zoomScaleNormal="100" workbookViewId="0">
      <selection activeCell="B21" sqref="B21:G21"/>
    </sheetView>
  </sheetViews>
  <sheetFormatPr defaultColWidth="8.6640625" defaultRowHeight="14.4" x14ac:dyDescent="0.3"/>
  <cols>
    <col min="1" max="1" width="3" customWidth="1"/>
    <col min="2" max="2" width="24" customWidth="1"/>
    <col min="3" max="7" width="12" customWidth="1"/>
  </cols>
  <sheetData>
    <row r="2" spans="2:7" ht="21" x14ac:dyDescent="0.4">
      <c r="B2" s="6" t="s">
        <v>134</v>
      </c>
      <c r="C2" s="6"/>
      <c r="D2" s="6"/>
      <c r="E2" s="6"/>
      <c r="F2" s="6"/>
      <c r="G2" s="6"/>
    </row>
    <row r="4" spans="2:7" x14ac:dyDescent="0.3">
      <c r="B4" s="33" t="s">
        <v>135</v>
      </c>
    </row>
    <row r="5" spans="2:7" x14ac:dyDescent="0.3">
      <c r="B5" s="12" t="s">
        <v>136</v>
      </c>
      <c r="C5" s="12" t="s">
        <v>42</v>
      </c>
      <c r="D5" s="12" t="s">
        <v>124</v>
      </c>
      <c r="E5" s="12" t="s">
        <v>125</v>
      </c>
      <c r="F5" s="12" t="s">
        <v>126</v>
      </c>
      <c r="G5" s="12" t="s">
        <v>127</v>
      </c>
    </row>
    <row r="6" spans="2:7" x14ac:dyDescent="0.3">
      <c r="B6" s="10">
        <v>1</v>
      </c>
      <c r="C6" s="10" t="s">
        <v>103</v>
      </c>
      <c r="D6" s="31">
        <f>'D. Trading Multiples'!C6</f>
        <v>2.158208826733929</v>
      </c>
      <c r="E6" s="31">
        <f>'D. Trading Multiples'!D6</f>
        <v>21.126765958068518</v>
      </c>
      <c r="F6" s="31">
        <f>'D. Trading Multiples'!E6</f>
        <v>27.180855187969922</v>
      </c>
      <c r="G6" s="31">
        <f>'D. Trading Multiples'!F6</f>
        <v>32.06342004994648</v>
      </c>
    </row>
    <row r="7" spans="2:7" x14ac:dyDescent="0.3">
      <c r="B7" s="10">
        <v>2</v>
      </c>
      <c r="C7" s="10" t="s">
        <v>110</v>
      </c>
      <c r="D7" s="31">
        <f>'D. Trading Multiples'!C8</f>
        <v>0.56809271255060734</v>
      </c>
      <c r="E7" s="31">
        <f>'D. Trading Multiples'!D8</f>
        <v>12.096456896551723</v>
      </c>
      <c r="F7" s="31">
        <f>'D. Trading Multiples'!E8</f>
        <v>420.95670000000001</v>
      </c>
      <c r="G7" s="31" t="str">
        <f>'D. Trading Multiples'!F8</f>
        <v>N/M</v>
      </c>
    </row>
    <row r="8" spans="2:7" x14ac:dyDescent="0.3">
      <c r="B8" s="10">
        <v>3</v>
      </c>
      <c r="C8" s="10" t="s">
        <v>117</v>
      </c>
      <c r="D8" s="31">
        <f>'D. Trading Multiples'!C10</f>
        <v>0.59926470588235292</v>
      </c>
      <c r="E8" s="31">
        <f>'D. Trading Multiples'!D10</f>
        <v>6.6530612244897958</v>
      </c>
      <c r="F8" s="31">
        <f>'D. Trading Multiples'!E10</f>
        <v>17.045751633986928</v>
      </c>
      <c r="G8" s="31">
        <f>'D. Trading Multiples'!F10</f>
        <v>49.714285714285715</v>
      </c>
    </row>
    <row r="9" spans="2:7" x14ac:dyDescent="0.3">
      <c r="B9" s="10">
        <v>4</v>
      </c>
      <c r="C9" s="10" t="s">
        <v>56</v>
      </c>
      <c r="D9" s="31">
        <f>'D. Trading Multiples'!C7</f>
        <v>0.95311994827028779</v>
      </c>
      <c r="E9" s="31">
        <f>'D. Trading Multiples'!D7</f>
        <v>6.2325581395348841</v>
      </c>
      <c r="F9" s="31">
        <f>'D. Trading Multiples'!E7</f>
        <v>9.418530351437699</v>
      </c>
      <c r="G9" s="31">
        <f>'D. Trading Multiples'!F7</f>
        <v>23.926605504587155</v>
      </c>
    </row>
    <row r="10" spans="2:7" x14ac:dyDescent="0.3">
      <c r="B10" s="10">
        <v>5</v>
      </c>
      <c r="C10" s="10" t="s">
        <v>113</v>
      </c>
      <c r="D10" s="31">
        <f>'D. Trading Multiples'!C9</f>
        <v>0.18531841193711698</v>
      </c>
      <c r="E10" s="31">
        <f>'D. Trading Multiples'!D9</f>
        <v>4.1522388059701489</v>
      </c>
      <c r="F10" s="31">
        <f>'D. Trading Multiples'!E9</f>
        <v>6.0742358078602621</v>
      </c>
      <c r="G10" s="31">
        <f>'D. Trading Multiples'!F9</f>
        <v>8.779141104294478</v>
      </c>
    </row>
    <row r="12" spans="2:7" x14ac:dyDescent="0.3">
      <c r="B12" s="33" t="s">
        <v>137</v>
      </c>
    </row>
    <row r="13" spans="2:7" x14ac:dyDescent="0.3">
      <c r="B13" s="12" t="s">
        <v>138</v>
      </c>
      <c r="C13" s="12" t="s">
        <v>124</v>
      </c>
      <c r="D13" s="12" t="s">
        <v>125</v>
      </c>
      <c r="E13" s="12" t="s">
        <v>139</v>
      </c>
      <c r="F13" s="12" t="s">
        <v>140</v>
      </c>
    </row>
    <row r="14" spans="2:7" x14ac:dyDescent="0.3">
      <c r="B14" s="10" t="s">
        <v>141</v>
      </c>
      <c r="C14" s="31">
        <f>MEDIAN('D. Trading Multiples'!C6:C10)</f>
        <v>0.59926470588235292</v>
      </c>
      <c r="D14" s="31">
        <f>MEDIAN('D. Trading Multiples'!D6:D10)</f>
        <v>6.6530612244897958</v>
      </c>
      <c r="E14" s="31">
        <f>MEDIAN('D. Trading Multiples'!E6:E10)</f>
        <v>17.045751633986928</v>
      </c>
      <c r="F14" s="31">
        <f>MEDIAN('D. Trading Multiples'!F6:F10)</f>
        <v>27.995012777266815</v>
      </c>
    </row>
    <row r="15" spans="2:7" x14ac:dyDescent="0.3">
      <c r="B15" s="10" t="s">
        <v>142</v>
      </c>
      <c r="C15" s="31">
        <f>AVERAGE('D. Trading Multiples'!C6:C10)</f>
        <v>0.89280092107485876</v>
      </c>
      <c r="D15" s="31">
        <f>AVERAGE('D. Trading Multiples'!D6:D10)</f>
        <v>10.052216204923015</v>
      </c>
      <c r="E15" s="31">
        <f>AVERAGE('D. Trading Multiples'!E6:E10)</f>
        <v>96.135214596250961</v>
      </c>
      <c r="F15" s="31">
        <f>AVERAGE('D. Trading Multiples'!F6:F10)</f>
        <v>28.620863093278459</v>
      </c>
    </row>
    <row r="16" spans="2:7" x14ac:dyDescent="0.3">
      <c r="B16" s="10" t="s">
        <v>143</v>
      </c>
      <c r="C16" s="31">
        <f>MIN('D. Trading Multiples'!C6:C10)</f>
        <v>0.18531841193711698</v>
      </c>
      <c r="D16" s="31">
        <f>MIN('D. Trading Multiples'!D6:D10)</f>
        <v>4.1522388059701489</v>
      </c>
      <c r="E16" s="31">
        <f>MIN('D. Trading Multiples'!E6:E10)</f>
        <v>6.0742358078602621</v>
      </c>
      <c r="F16" s="31">
        <f>MIN('D. Trading Multiples'!F6:F10)</f>
        <v>8.779141104294478</v>
      </c>
    </row>
    <row r="17" spans="2:7" x14ac:dyDescent="0.3">
      <c r="B17" s="10" t="s">
        <v>144</v>
      </c>
      <c r="C17" s="31">
        <f>MAX('D. Trading Multiples'!C6:C10)</f>
        <v>2.158208826733929</v>
      </c>
      <c r="D17" s="31">
        <f>MAX('D. Trading Multiples'!D6:D10)</f>
        <v>21.126765958068518</v>
      </c>
      <c r="E17" s="31">
        <f>MAX('D. Trading Multiples'!E6:E10)</f>
        <v>420.95670000000001</v>
      </c>
      <c r="F17" s="31">
        <f>MAX('D. Trading Multiples'!F6:F10)</f>
        <v>49.714285714285715</v>
      </c>
    </row>
    <row r="18" spans="2:7" x14ac:dyDescent="0.3">
      <c r="B18" s="10" t="s">
        <v>145</v>
      </c>
      <c r="C18" s="31">
        <f>MEDIAN('D. Trading Multiples'!C7,'D. Trading Multiples'!C9,'D. Trading Multiples'!C10)</f>
        <v>0.59926470588235292</v>
      </c>
      <c r="D18" s="31">
        <f>MEDIAN('D. Trading Multiples'!D7,'D. Trading Multiples'!D9,'D. Trading Multiples'!D10)</f>
        <v>6.2325581395348841</v>
      </c>
    </row>
    <row r="20" spans="2:7" ht="25.5" customHeight="1" x14ac:dyDescent="0.3">
      <c r="B20" s="2" t="s">
        <v>146</v>
      </c>
      <c r="C20" s="2"/>
      <c r="D20" s="2"/>
      <c r="E20" s="2"/>
      <c r="F20" s="2"/>
      <c r="G20" s="2"/>
    </row>
    <row r="21" spans="2:7" ht="25.5" customHeight="1" x14ac:dyDescent="0.3">
      <c r="B21" s="2" t="s">
        <v>147</v>
      </c>
      <c r="C21" s="2"/>
      <c r="D21" s="2"/>
      <c r="E21" s="2"/>
      <c r="F21" s="2"/>
      <c r="G21" s="2"/>
    </row>
    <row r="23" spans="2:7" x14ac:dyDescent="0.3">
      <c r="B23" s="33" t="s">
        <v>148</v>
      </c>
    </row>
    <row r="24" spans="2:7" ht="69.75" customHeight="1" x14ac:dyDescent="0.3">
      <c r="B24" s="9" t="s">
        <v>103</v>
      </c>
      <c r="C24" s="1" t="s">
        <v>149</v>
      </c>
      <c r="D24" s="1"/>
      <c r="E24" s="1"/>
      <c r="F24" s="1"/>
      <c r="G24" s="1"/>
    </row>
    <row r="25" spans="2:7" ht="69.75" customHeight="1" x14ac:dyDescent="0.3">
      <c r="B25" s="9" t="s">
        <v>110</v>
      </c>
      <c r="C25" s="1" t="s">
        <v>150</v>
      </c>
      <c r="D25" s="1"/>
      <c r="E25" s="1"/>
      <c r="F25" s="1"/>
      <c r="G25" s="1"/>
    </row>
    <row r="26" spans="2:7" ht="69.75" customHeight="1" x14ac:dyDescent="0.3">
      <c r="B26" s="9" t="s">
        <v>151</v>
      </c>
      <c r="C26" s="1" t="s">
        <v>152</v>
      </c>
      <c r="D26" s="1"/>
      <c r="E26" s="1"/>
      <c r="F26" s="1"/>
      <c r="G26" s="1"/>
    </row>
  </sheetData>
  <mergeCells count="6">
    <mergeCell ref="C26:G26"/>
    <mergeCell ref="B2:G2"/>
    <mergeCell ref="B20:G20"/>
    <mergeCell ref="B21:G21"/>
    <mergeCell ref="C24:G24"/>
    <mergeCell ref="C25:G2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40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34" customWidth="1"/>
    <col min="3" max="6" width="16" customWidth="1"/>
  </cols>
  <sheetData>
    <row r="2" spans="2:6" ht="21" x14ac:dyDescent="0.4">
      <c r="B2" s="6" t="s">
        <v>153</v>
      </c>
      <c r="C2" s="6"/>
      <c r="D2" s="6"/>
      <c r="E2" s="6"/>
      <c r="F2" s="6"/>
    </row>
    <row r="4" spans="2:6" x14ac:dyDescent="0.3">
      <c r="B4" s="33" t="s">
        <v>154</v>
      </c>
    </row>
    <row r="5" spans="2:6" x14ac:dyDescent="0.3">
      <c r="B5" s="10" t="s">
        <v>155</v>
      </c>
      <c r="C5" s="34">
        <f>'C. Financial Data'!L5</f>
        <v>57417</v>
      </c>
    </row>
    <row r="6" spans="2:6" x14ac:dyDescent="0.3">
      <c r="B6" s="10" t="s">
        <v>156</v>
      </c>
      <c r="C6" s="34">
        <f>'C. Financial Data'!M5</f>
        <v>4038</v>
      </c>
    </row>
    <row r="7" spans="2:6" x14ac:dyDescent="0.3">
      <c r="B7" s="10" t="s">
        <v>157</v>
      </c>
      <c r="C7" s="34">
        <f>'C. Financial Data'!N5</f>
        <v>3046</v>
      </c>
    </row>
    <row r="8" spans="2:6" x14ac:dyDescent="0.3">
      <c r="B8" s="10" t="s">
        <v>158</v>
      </c>
      <c r="C8" s="34">
        <f>'C. Financial Data'!O5</f>
        <v>2553</v>
      </c>
    </row>
    <row r="9" spans="2:6" x14ac:dyDescent="0.3">
      <c r="B9" s="10" t="s">
        <v>159</v>
      </c>
      <c r="C9" s="34">
        <f>'C. Financial Data'!J5</f>
        <v>9666</v>
      </c>
    </row>
    <row r="10" spans="2:6" x14ac:dyDescent="0.3">
      <c r="B10" s="10" t="s">
        <v>160</v>
      </c>
      <c r="C10" s="34">
        <f>'C. Financial Data'!I5</f>
        <v>3703</v>
      </c>
    </row>
    <row r="11" spans="2:6" x14ac:dyDescent="0.3">
      <c r="B11" s="10" t="s">
        <v>161</v>
      </c>
      <c r="C11" s="34">
        <f>'C. Financial Data'!J5-'C. Financial Data'!I5</f>
        <v>5963</v>
      </c>
    </row>
    <row r="12" spans="2:6" x14ac:dyDescent="0.3">
      <c r="B12" s="10" t="s">
        <v>162</v>
      </c>
      <c r="C12" s="35">
        <f>'C. Financial Data'!G5</f>
        <v>914.52</v>
      </c>
    </row>
    <row r="13" spans="2:6" x14ac:dyDescent="0.3">
      <c r="B13" s="10" t="s">
        <v>163</v>
      </c>
      <c r="C13" s="36">
        <f>'C. Financial Data'!F5</f>
        <v>22.99</v>
      </c>
    </row>
    <row r="15" spans="2:6" x14ac:dyDescent="0.3">
      <c r="B15" s="33" t="s">
        <v>164</v>
      </c>
    </row>
    <row r="16" spans="2:6" x14ac:dyDescent="0.3">
      <c r="B16" s="12" t="s">
        <v>165</v>
      </c>
      <c r="C16" s="12" t="s">
        <v>166</v>
      </c>
      <c r="D16" s="12" t="s">
        <v>167</v>
      </c>
      <c r="E16" s="12" t="s">
        <v>168</v>
      </c>
    </row>
    <row r="17" spans="2:5" x14ac:dyDescent="0.3">
      <c r="B17" s="10" t="s">
        <v>169</v>
      </c>
      <c r="C17" s="31">
        <f>MIN('D. Trading Multiples'!C7,'D. Trading Multiples'!C9,'D. Trading Multiples'!C10)</f>
        <v>0.18531841193711698</v>
      </c>
      <c r="D17" s="31">
        <f>MEDIAN('D. Trading Multiples'!C7,'D. Trading Multiples'!C9,'D. Trading Multiples'!C10)</f>
        <v>0.59926470588235292</v>
      </c>
      <c r="E17" s="31">
        <f>MAX('D. Trading Multiples'!C7,'D. Trading Multiples'!C9,'D. Trading Multiples'!C10)</f>
        <v>0.95311994827028779</v>
      </c>
    </row>
    <row r="18" spans="2:5" x14ac:dyDescent="0.3">
      <c r="B18" s="10" t="s">
        <v>170</v>
      </c>
      <c r="C18" s="31">
        <f>MIN('D. Trading Multiples'!D7,'D. Trading Multiples'!D9,'D. Trading Multiples'!D10)</f>
        <v>4.1522388059701489</v>
      </c>
      <c r="D18" s="31">
        <f>MEDIAN('D. Trading Multiples'!D7,'D. Trading Multiples'!D9,'D. Trading Multiples'!D10)</f>
        <v>6.2325581395348841</v>
      </c>
      <c r="E18" s="31">
        <f>MAX('D. Trading Multiples'!D7,'D. Trading Multiples'!D9,'D. Trading Multiples'!D10)</f>
        <v>6.6530612244897958</v>
      </c>
    </row>
    <row r="20" spans="2:5" x14ac:dyDescent="0.3">
      <c r="B20" s="33" t="s">
        <v>171</v>
      </c>
    </row>
    <row r="21" spans="2:5" x14ac:dyDescent="0.3">
      <c r="B21" s="12"/>
      <c r="C21" s="12" t="s">
        <v>70</v>
      </c>
      <c r="D21" s="12" t="s">
        <v>172</v>
      </c>
      <c r="E21" s="12" t="s">
        <v>52</v>
      </c>
    </row>
    <row r="22" spans="2:5" x14ac:dyDescent="0.3">
      <c r="B22" s="10" t="s">
        <v>173</v>
      </c>
      <c r="C22" s="23">
        <f>C18*C6</f>
        <v>16766.740298507462</v>
      </c>
      <c r="D22" s="23">
        <f>D18*C6</f>
        <v>25167.069767441862</v>
      </c>
      <c r="E22" s="23">
        <f>E18*C6</f>
        <v>26865.061224489797</v>
      </c>
    </row>
    <row r="23" spans="2:5" x14ac:dyDescent="0.3">
      <c r="B23" s="10" t="s">
        <v>174</v>
      </c>
      <c r="C23" s="23">
        <f>C11</f>
        <v>5963</v>
      </c>
      <c r="D23" s="23">
        <f>C11</f>
        <v>5963</v>
      </c>
      <c r="E23" s="23">
        <f>C11</f>
        <v>5963</v>
      </c>
    </row>
    <row r="24" spans="2:5" x14ac:dyDescent="0.3">
      <c r="B24" s="9" t="s">
        <v>175</v>
      </c>
      <c r="C24" s="37">
        <f>C22-C23</f>
        <v>10803.740298507462</v>
      </c>
      <c r="D24" s="37">
        <f>D22-D23</f>
        <v>19204.069767441862</v>
      </c>
      <c r="E24" s="37">
        <f>E22-E23</f>
        <v>20902.061224489797</v>
      </c>
    </row>
    <row r="25" spans="2:5" x14ac:dyDescent="0.3">
      <c r="B25" s="9" t="s">
        <v>176</v>
      </c>
      <c r="C25" s="38">
        <f>C24/C12</f>
        <v>11.813563725787803</v>
      </c>
      <c r="D25" s="38">
        <f>D24/C12</f>
        <v>20.99907029637609</v>
      </c>
      <c r="E25" s="38">
        <f>E24/C12</f>
        <v>22.855772672538379</v>
      </c>
    </row>
    <row r="26" spans="2:5" x14ac:dyDescent="0.3">
      <c r="B26" s="10" t="s">
        <v>177</v>
      </c>
      <c r="C26" s="39">
        <f>C25/C13-1</f>
        <v>-0.486143378608621</v>
      </c>
      <c r="D26" s="39">
        <f>D25/C13-1</f>
        <v>-8.6599813119787261E-2</v>
      </c>
      <c r="E26" s="39">
        <f>E25/C13-1</f>
        <v>-5.8385092414797723E-3</v>
      </c>
    </row>
    <row r="28" spans="2:5" x14ac:dyDescent="0.3">
      <c r="B28" s="33" t="s">
        <v>178</v>
      </c>
    </row>
    <row r="29" spans="2:5" x14ac:dyDescent="0.3">
      <c r="B29" s="12"/>
      <c r="C29" s="12" t="s">
        <v>70</v>
      </c>
      <c r="D29" s="12" t="s">
        <v>172</v>
      </c>
      <c r="E29" s="12" t="s">
        <v>52</v>
      </c>
    </row>
    <row r="30" spans="2:5" x14ac:dyDescent="0.3">
      <c r="B30" s="10" t="s">
        <v>173</v>
      </c>
      <c r="C30" s="23">
        <f>C17*C5</f>
        <v>10640.427258193446</v>
      </c>
      <c r="D30" s="23">
        <f>D17*C5</f>
        <v>34407.981617647056</v>
      </c>
      <c r="E30" s="23">
        <f>E17*C5</f>
        <v>54725.288069835115</v>
      </c>
    </row>
    <row r="31" spans="2:5" x14ac:dyDescent="0.3">
      <c r="B31" s="10" t="s">
        <v>175</v>
      </c>
      <c r="C31" s="23">
        <f>C30-C11</f>
        <v>4677.4272581934456</v>
      </c>
      <c r="D31" s="23">
        <f>D30-C11</f>
        <v>28444.981617647056</v>
      </c>
      <c r="E31" s="23">
        <f>E30-C11</f>
        <v>48762.288069835115</v>
      </c>
    </row>
    <row r="32" spans="2:5" x14ac:dyDescent="0.3">
      <c r="B32" s="9" t="s">
        <v>176</v>
      </c>
      <c r="C32" s="40">
        <f>C31/C12</f>
        <v>5.1146254408798555</v>
      </c>
      <c r="D32" s="40">
        <f>D31/C12</f>
        <v>31.103728313921025</v>
      </c>
      <c r="E32" s="40">
        <f>E31/C12</f>
        <v>53.320089303498136</v>
      </c>
    </row>
    <row r="34" spans="2:6" x14ac:dyDescent="0.3">
      <c r="B34" s="33" t="s">
        <v>179</v>
      </c>
    </row>
    <row r="35" spans="2:6" ht="39.75" customHeight="1" x14ac:dyDescent="0.3">
      <c r="B35" s="1" t="s">
        <v>180</v>
      </c>
      <c r="C35" s="1"/>
      <c r="D35" s="1"/>
      <c r="E35" s="1"/>
      <c r="F35" s="1"/>
    </row>
    <row r="36" spans="2:6" ht="39.75" customHeight="1" x14ac:dyDescent="0.3">
      <c r="B36" s="1" t="s">
        <v>181</v>
      </c>
      <c r="C36" s="1"/>
      <c r="D36" s="1"/>
      <c r="E36" s="1"/>
      <c r="F36" s="1"/>
    </row>
    <row r="37" spans="2:6" ht="39.75" customHeight="1" x14ac:dyDescent="0.3">
      <c r="B37" s="1" t="s">
        <v>182</v>
      </c>
      <c r="C37" s="1"/>
      <c r="D37" s="1"/>
      <c r="E37" s="1"/>
      <c r="F37" s="1"/>
    </row>
    <row r="38" spans="2:6" ht="39.75" customHeight="1" x14ac:dyDescent="0.3">
      <c r="B38" s="1" t="s">
        <v>183</v>
      </c>
      <c r="C38" s="1"/>
      <c r="D38" s="1"/>
      <c r="E38" s="1"/>
      <c r="F38" s="1"/>
    </row>
    <row r="39" spans="2:6" ht="39.75" customHeight="1" x14ac:dyDescent="0.3">
      <c r="B39" s="1" t="s">
        <v>184</v>
      </c>
      <c r="C39" s="1"/>
      <c r="D39" s="1"/>
      <c r="E39" s="1"/>
      <c r="F39" s="1"/>
    </row>
    <row r="40" spans="2:6" ht="39.75" customHeight="1" x14ac:dyDescent="0.3">
      <c r="B40" s="1" t="s">
        <v>185</v>
      </c>
      <c r="C40" s="1"/>
      <c r="D40" s="1"/>
      <c r="E40" s="1"/>
      <c r="F40" s="1"/>
    </row>
  </sheetData>
  <mergeCells count="7">
    <mergeCell ref="B39:F39"/>
    <mergeCell ref="B40:F40"/>
    <mergeCell ref="B2:F2"/>
    <mergeCell ref="B35:F35"/>
    <mergeCell ref="B36:F36"/>
    <mergeCell ref="B37:F37"/>
    <mergeCell ref="B38:F3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A. Company Overview</vt:lpstr>
      <vt:lpstr>B. Peer Selection</vt:lpstr>
      <vt:lpstr>C. Financial Data</vt:lpstr>
      <vt:lpstr>D. Trading Multiples</vt:lpstr>
      <vt:lpstr>E. Benchmarking</vt:lpstr>
      <vt:lpstr>F.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jyotpatel2605@outlook.com</cp:lastModifiedBy>
  <cp:revision>1</cp:revision>
  <dcterms:created xsi:type="dcterms:W3CDTF">2026-07-08T11:47:57Z</dcterms:created>
  <dcterms:modified xsi:type="dcterms:W3CDTF">2026-07-08T12:30:36Z</dcterms:modified>
  <dc:language>en-US</dc:language>
</cp:coreProperties>
</file>