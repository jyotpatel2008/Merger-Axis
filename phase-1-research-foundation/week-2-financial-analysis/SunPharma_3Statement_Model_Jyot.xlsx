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yot\Downloads\"/>
    </mc:Choice>
  </mc:AlternateContent>
  <xr:revisionPtr revIDLastSave="0" documentId="8_{7B7F1C65-38DB-4837-A977-AAD02B037E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come Statement" sheetId="1" r:id="rId1"/>
    <sheet name="Balance Sheet" sheetId="2" r:id="rId2"/>
    <sheet name="Cash Flow Statement" sheetId="3" r:id="rId3"/>
    <sheet name="Financial Rati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D24" i="4"/>
  <c r="C24" i="4"/>
  <c r="C23" i="4"/>
  <c r="E22" i="4"/>
  <c r="D22" i="4"/>
  <c r="C22" i="4"/>
  <c r="E20" i="4"/>
  <c r="D20" i="4"/>
  <c r="C20" i="4"/>
  <c r="E15" i="4"/>
  <c r="D15" i="4"/>
  <c r="C15" i="4"/>
  <c r="E13" i="4"/>
  <c r="D13" i="4"/>
  <c r="C13" i="4"/>
  <c r="E9" i="4"/>
  <c r="D9" i="4"/>
  <c r="C9" i="4"/>
  <c r="C4" i="4"/>
  <c r="E55" i="3"/>
  <c r="D55" i="3"/>
  <c r="C55" i="3"/>
  <c r="E44" i="3"/>
  <c r="D44" i="3"/>
  <c r="C44" i="3"/>
  <c r="E34" i="3"/>
  <c r="D34" i="3"/>
  <c r="C34" i="3"/>
  <c r="E13" i="3"/>
  <c r="E22" i="3" s="1"/>
  <c r="E24" i="3" s="1"/>
  <c r="E47" i="3" s="1"/>
  <c r="E50" i="3" s="1"/>
  <c r="D13" i="3"/>
  <c r="D22" i="3" s="1"/>
  <c r="D24" i="3" s="1"/>
  <c r="D47" i="3" s="1"/>
  <c r="D50" i="3" s="1"/>
  <c r="C13" i="3"/>
  <c r="C22" i="3" s="1"/>
  <c r="C24" i="3" s="1"/>
  <c r="C47" i="3" s="1"/>
  <c r="C50" i="3" s="1"/>
  <c r="E52" i="2"/>
  <c r="E5" i="4" s="1"/>
  <c r="D52" i="2"/>
  <c r="D5" i="4" s="1"/>
  <c r="C52" i="2"/>
  <c r="C5" i="4" s="1"/>
  <c r="E42" i="2"/>
  <c r="D42" i="2"/>
  <c r="C42" i="2"/>
  <c r="E34" i="2"/>
  <c r="E8" i="4" s="1"/>
  <c r="D34" i="2"/>
  <c r="D8" i="4" s="1"/>
  <c r="C34" i="2"/>
  <c r="C53" i="2" s="1"/>
  <c r="E26" i="2"/>
  <c r="E4" i="4" s="1"/>
  <c r="D26" i="2"/>
  <c r="D4" i="4" s="1"/>
  <c r="C26" i="2"/>
  <c r="E15" i="2"/>
  <c r="E27" i="2" s="1"/>
  <c r="D15" i="2"/>
  <c r="D27" i="2" s="1"/>
  <c r="C15" i="2"/>
  <c r="C27" i="2" s="1"/>
  <c r="C56" i="2" s="1"/>
  <c r="E35" i="1"/>
  <c r="D35" i="1"/>
  <c r="C35" i="1"/>
  <c r="E29" i="1"/>
  <c r="E34" i="1" s="1"/>
  <c r="D29" i="1"/>
  <c r="D34" i="1" s="1"/>
  <c r="C29" i="1"/>
  <c r="C34" i="1" s="1"/>
  <c r="E26" i="1"/>
  <c r="D26" i="1"/>
  <c r="C26" i="1"/>
  <c r="E19" i="1"/>
  <c r="D19" i="1"/>
  <c r="C19" i="1"/>
  <c r="C8" i="1"/>
  <c r="E6" i="1"/>
  <c r="E14" i="4" s="1"/>
  <c r="D6" i="1"/>
  <c r="D14" i="4" s="1"/>
  <c r="D16" i="4" s="1"/>
  <c r="C6" i="1"/>
  <c r="C19" i="4" s="1"/>
  <c r="E16" i="4" l="1"/>
  <c r="C21" i="4"/>
  <c r="D21" i="4"/>
  <c r="E21" i="4"/>
  <c r="D12" i="4"/>
  <c r="C32" i="1"/>
  <c r="D8" i="1"/>
  <c r="E8" i="1"/>
  <c r="E32" i="1"/>
  <c r="E12" i="4"/>
  <c r="D19" i="4"/>
  <c r="D23" i="4"/>
  <c r="E23" i="4"/>
  <c r="C8" i="4"/>
  <c r="C14" i="4"/>
  <c r="C16" i="4" s="1"/>
  <c r="C12" i="4"/>
  <c r="D32" i="1"/>
  <c r="D33" i="1"/>
  <c r="E33" i="1"/>
  <c r="C33" i="1"/>
  <c r="E19" i="4"/>
  <c r="D53" i="2"/>
  <c r="D56" i="2" s="1"/>
  <c r="E53" i="2"/>
  <c r="E56" i="2" s="1"/>
</calcChain>
</file>

<file path=xl/sharedStrings.xml><?xml version="1.0" encoding="utf-8"?>
<sst xmlns="http://schemas.openxmlformats.org/spreadsheetml/2006/main" count="162" uniqueCount="152">
  <si>
    <t>SUN PHARMACEUTICAL INDUSTRIES LTD – CONSOLIDATED INCOME STATEMENT  (₹ in Millions)</t>
  </si>
  <si>
    <t>FY2022</t>
  </si>
  <si>
    <t>FY2023</t>
  </si>
  <si>
    <t>FY2024</t>
  </si>
  <si>
    <t>REVENUE</t>
  </si>
  <si>
    <t>Revenue from contracts with customers</t>
  </si>
  <si>
    <t>Other operating revenues</t>
  </si>
  <si>
    <t>Total 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</si>
  <si>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</si>
  <si>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</si>
  <si>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</si>
  <si>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</si>
  <si>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</si>
  <si>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</t>
  </si>
  <si>
    <t>Employee benefits expense</t>
  </si>
  <si>
    <t>Finance costs</t>
  </si>
  <si>
    <t>Depreciation &amp; amortisation</t>
  </si>
  <si>
    <t>Other expenses</t>
  </si>
  <si>
    <t>Net FX (gain)/loss</t>
  </si>
  <si>
    <t>Total Expenses</t>
  </si>
  <si>
    <t>PROFITABILITY</t>
  </si>
  <si>
    <t>EBIT (Profit before exceptional items &amp; tax)</t>
  </si>
  <si>
    <t>Exceptional items (net)</t>
  </si>
  <si>
    <t>Profit before tax (PBT)</t>
  </si>
  <si>
    <t>Tax expense</t>
  </si>
  <si>
    <t>Profit after tax (PAT) – before NCI &amp; assoc</t>
  </si>
  <si>
    <t>Share of profit/(loss) of associates &amp; JV</t>
  </si>
  <si>
    <t>Non-controlling interests</t>
  </si>
  <si>
    <t>PAT attributable to owners of the Company</t>
  </si>
  <si>
    <t>MARGIN ANALYSIS</t>
  </si>
  <si>
    <t>EBITDA margin  ((EBIT + Dep) / Rev from Ops)</t>
  </si>
  <si>
    <t>EBIT margin  (EBIT / Rev from Ops)</t>
  </si>
  <si>
    <t>PAT margin (owners)  (PAT / Rev from Ops)</t>
  </si>
  <si>
    <t>Effective tax rate  (Tax / PBT)</t>
  </si>
  <si>
    <t>SUN PHARMACEUTICAL INDUSTRIES LTD – CONSOLIDATED BALANCE SHEET  (₹ in Millions)</t>
  </si>
  <si>
    <t>ASSETS</t>
  </si>
  <si>
    <t>Non-Current Assets</t>
  </si>
  <si>
    <t>Property, plant &amp; equipment</t>
  </si>
  <si>
    <t>Capital work-in-progress</t>
  </si>
  <si>
    <t>Goodwill (net)</t>
  </si>
  <si>
    <t>Other intangible assets</t>
  </si>
  <si>
    <t>Intangible assets under development</t>
  </si>
  <si>
    <t>Investments (associates, JV)</t>
  </si>
  <si>
    <t>Financial investments (non-current)</t>
  </si>
  <si>
    <t>Deferred tax assets (net)</t>
  </si>
  <si>
    <t>Income tax assets (net)</t>
  </si>
  <si>
    <t>Other non-current assets</t>
  </si>
  <si>
    <t>Total Non-Current Assets</t>
  </si>
  <si>
    <t>Current Assets</t>
  </si>
  <si>
    <t>Inventories</t>
  </si>
  <si>
    <t>Current investments</t>
  </si>
  <si>
    <t>Trade receivables</t>
  </si>
  <si>
    <t>Cash &amp; cash equivalents</t>
  </si>
  <si>
    <t>Bank balances (other)</t>
  </si>
  <si>
    <t>Loans (current)</t>
  </si>
  <si>
    <t>Other financial assets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</si>
  <si>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</si>
  <si>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</si>
  <si>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</si>
  <si>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</si>
  <si>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</si>
  <si>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</si>
  <si>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</si>
  <si>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</si>
  <si>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</si>
  <si>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Borrowings (non-current)</t>
  </si>
  <si>
    <t>Lease liabilities (NC)</t>
  </si>
  <si>
    <t>Provisions (NC)</t>
  </si>
  <si>
    <t>Deferred tax liabilities</t>
  </si>
  <si>
    <t>Other non-current liabilities</t>
  </si>
  <si>
    <t>Total Non-Current Liabilities</t>
  </si>
  <si>
    <t>Current Liabilities</t>
  </si>
  <si>
    <t>Borrowings (current)</t>
  </si>
  <si>
    <t>Lease liabilities (current)</t>
  </si>
  <si>
    <t>Trade payables</t>
  </si>
  <si>
    <t>Other financial liabilities</t>
  </si>
  <si>
    <t>Other current liabilities</t>
  </si>
  <si>
    <t>Provisions (current)</t>
  </si>
  <si>
    <t>Current tax liabilities</t>
  </si>
  <si>
    <t>Total Current Liabilities</t>
  </si>
  <si>
    <t>TOTAL EQUITY &amp; LIABILITIES</t>
  </si>
  <si>
    <t>BALANCE SHEET VERIFICATION  (Difference = Assets − Equity &amp; Liabilities; must be 0)</t>
  </si>
  <si>
    <t>Balance check (must equal 0)</t>
  </si>
  <si>
    <t>SUN PHARMACEUTICAL INDUSTRIES LTD – CONSOLIDATED CASH FLOW STATEMENT  (₹ in Millions)</t>
  </si>
  <si>
    <t>A.  CASH FLOW FROM OPERATING ACTIVITIES</t>
  </si>
  <si>
    <t>Profit before tax</t>
  </si>
  <si>
    <t>Add: Depreciation &amp; amortisation</t>
  </si>
  <si>
    <t>Add: Finance costs</t>
  </si>
  <si>
    <t>Less: Interest income</t>
  </si>
  <si>
    <t>Less: Dividend income</t>
  </si>
  <si>
    <t>Fair value (gains)/losses on investments</t>
  </si>
  <si>
    <t>Provisions / write-offs &amp; other adjustments</t>
  </si>
  <si>
    <t>Exchange rate effect</t>
  </si>
  <si>
    <t>Net (gain)/loss on asset disposals</t>
  </si>
  <si>
    <t>Operating profit before working capital changes</t>
  </si>
  <si>
    <t>Working Capital Movements</t>
  </si>
  <si>
    <t>(Increase)/Decrease in inventories</t>
  </si>
  <si>
    <t>(Increase)/Decrease in trade receivables</t>
  </si>
  <si>
    <t>(Increase)/Decrease in other assets</t>
  </si>
  <si>
    <t>Increase/(Decrease) in trade payables</t>
  </si>
  <si>
    <t>Increase/(Decrease) in other liabilities</t>
  </si>
  <si>
    <t>Increase/(Decrease) in provisions</t>
  </si>
  <si>
    <t>Cash generated from operations</t>
  </si>
  <si>
    <t>Income tax paid (net)</t>
  </si>
  <si>
    <t>Net Cash from Operating Activities (A)</t>
  </si>
  <si>
    <t>B.  CASH FLOW FROM INVESTING ACTIVITIES</t>
  </si>
  <si>
    <t>Capital expenditure (PPE + intangibles)</t>
  </si>
  <si>
    <t>Proceeds from asset disposals</t>
  </si>
  <si>
    <t>Purchase of investments (net)</t>
  </si>
  <si>
    <t>Fixed deposits movement (net)</t>
  </si>
  <si>
    <t>Acquisition of subsidiaries</t>
  </si>
  <si>
    <t>Interest received</t>
  </si>
  <si>
    <t>Dividend received</t>
  </si>
  <si>
    <t>Net Cash from Investing Activities (B)</t>
  </si>
  <si>
    <t>C.  CASH FLOW FROM FINANCING ACTIVITIES</t>
  </si>
  <si>
    <t>Proceeds from borrowings</t>
  </si>
  <si>
    <t>Repayment of borrowings</t>
  </si>
  <si>
    <t>Repayment of lease liabilities</t>
  </si>
  <si>
    <t>Buyback of NCI shares</t>
  </si>
  <si>
    <t>Net movement in WC demand loans</t>
  </si>
  <si>
    <t>Finance costs paid</t>
  </si>
  <si>
    <t>Dividend paid (incl. NCI)</t>
  </si>
  <si>
    <t>Net Cash from Financing Activities (C)</t>
  </si>
  <si>
    <t>CASH RECONCILIATION</t>
  </si>
  <si>
    <t>Net change in cash (A+B+C)</t>
  </si>
  <si>
    <t>Opening cash &amp; equivalents</t>
  </si>
  <si>
    <t>FX restatement &amp; acq. effect</t>
  </si>
  <si>
    <t>Closing cash &amp; equivalents</t>
  </si>
  <si>
    <t>OCF vs PAT ANALYSIS</t>
  </si>
  <si>
    <t>Net Cash from Operating Activities (OCF)</t>
  </si>
  <si>
    <t>PAT (consolidated, before NCI)</t>
  </si>
  <si>
    <t>OCF / PAT multiple  (&gt;1x = cash-generative)</t>
  </si>
  <si>
    <t>SUN PHARMACEUTICAL INDUSTRIES LTD – FINANCIAL RATIOS</t>
  </si>
  <si>
    <t>1.  LIQUIDITY RATIOS</t>
  </si>
  <si>
    <t>Current Ratio  (Current Assets ÷ Current Liabilities)</t>
  </si>
  <si>
    <t>OCF Ratio  (OCF ÷ Current Liabilities)  — ability to cover CL from operations</t>
  </si>
  <si>
    <t>2.  LEVERAGE RATIOS</t>
  </si>
  <si>
    <t>Debt-to-Equity Ratio  ((NC Borrowings + Current Borrowings) ÷ Total Equity)</t>
  </si>
  <si>
    <t>Interest Coverage Ratio  (EBIT ÷ Finance Costs)  — times interest earned</t>
  </si>
  <si>
    <t>3.  PROFITABILITY &amp; EFFICIENCY RATIOS</t>
  </si>
  <si>
    <t>Return on Equity – ROE  (PAT owners ÷ Total Equity)</t>
  </si>
  <si>
    <t>Days Inventory Outstanding – DIO  (Inventory ÷ COGS × 365)</t>
  </si>
  <si>
    <t>Days Sales Outstanding – DSO  (Receivables ÷ Revenue from Ops × 365)</t>
  </si>
  <si>
    <t>Days Payables Outstanding – DPO  (Payables ÷ COGS × 365)</t>
  </si>
  <si>
    <t>Cash Conversion Cycle – CCC  (DIO + DSO − DPO)</t>
  </si>
  <si>
    <t>KEY INPUTS  (Linked from Financial Statements)</t>
  </si>
  <si>
    <t>Revenue from Operations (₹ Mn)</t>
  </si>
  <si>
    <t>EBIT (₹ Mn)</t>
  </si>
  <si>
    <t>PAT attributable to owners (₹ Mn)</t>
  </si>
  <si>
    <t>Operating Cash Flow (₹ Mn)</t>
  </si>
  <si>
    <t>Total Equity (₹ Mn)</t>
  </si>
  <si>
    <t>Total Debt (NC + Current Borrowings) (₹ 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</si>
</sst>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\x"/>
    <numFmt numFmtId="167" formatCode="0.0"/>
  </numFmts>
  <fonts count="9" x14ac:knownFonts="1">
    <font>
      <sz val="11"/>
      <name val="Calibri"/>
      <scheme val="minor"/>
    </font>
    <font>
      <b/>
      <sz val="13"/>
      <color rgb="FF003366"/>
      <name val="Arial"/>
    </font>
    <font>
      <sz val="11"/>
      <name val="Calibri"/>
    </font>
    <font>
      <b/>
      <sz val="10"/>
      <color rgb="FFFFFFFF"/>
      <name val="Arial"/>
    </font>
    <font>
      <sz val="11"/>
      <name val="Calibri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00"/>
      <name val="Arial"/>
    </font>
    <font>
      <i/>
      <sz val="10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CE6F1"/>
        <bgColor rgb="FFDCE6F1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2" fillId="3" borderId="2" xfId="0" applyFont="1" applyFill="1" applyBorder="1"/>
    <xf numFmtId="164" fontId="6" fillId="3" borderId="2" xfId="0" applyNumberFormat="1" applyFont="1" applyFill="1" applyBorder="1"/>
    <xf numFmtId="0" fontId="5" fillId="0" borderId="2" xfId="0" applyFont="1" applyBorder="1"/>
    <xf numFmtId="0" fontId="2" fillId="0" borderId="2" xfId="0" applyFont="1" applyBorder="1"/>
    <xf numFmtId="164" fontId="6" fillId="0" borderId="2" xfId="0" applyNumberFormat="1" applyFont="1" applyBorder="1"/>
    <xf numFmtId="0" fontId="7" fillId="4" borderId="2" xfId="0" applyFont="1" applyFill="1" applyBorder="1"/>
    <xf numFmtId="0" fontId="2" fillId="4" borderId="2" xfId="0" applyFont="1" applyFill="1" applyBorder="1"/>
    <xf numFmtId="164" fontId="7" fillId="4" borderId="2" xfId="0" applyNumberFormat="1" applyFont="1" applyFill="1" applyBorder="1"/>
    <xf numFmtId="165" fontId="5" fillId="3" borderId="2" xfId="0" applyNumberFormat="1" applyFont="1" applyFill="1" applyBorder="1"/>
    <xf numFmtId="165" fontId="5" fillId="0" borderId="2" xfId="0" applyNumberFormat="1" applyFont="1" applyBorder="1"/>
    <xf numFmtId="164" fontId="5" fillId="3" borderId="2" xfId="0" applyNumberFormat="1" applyFont="1" applyFill="1" applyBorder="1"/>
    <xf numFmtId="166" fontId="5" fillId="3" borderId="2" xfId="0" applyNumberFormat="1" applyFont="1" applyFill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167" fontId="5" fillId="3" borderId="2" xfId="0" applyNumberFormat="1" applyFont="1" applyFill="1" applyBorder="1"/>
    <xf numFmtId="167" fontId="7" fillId="4" borderId="2" xfId="0" applyNumberFormat="1" applyFont="1" applyFill="1" applyBorder="1"/>
    <xf numFmtId="164" fontId="5" fillId="0" borderId="2" xfId="0" applyNumberFormat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3" xfId="0" applyFont="1" applyFill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8" fillId="0" borderId="0" xfId="0" applyFont="1"/>
    <xf numFmtId="0" fontId="3" fillId="5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G1" sqref="G1"/>
    </sheetView>
  </sheetViews>
  <sheetFormatPr defaultColWidth="11.21875" defaultRowHeight="15" customHeight="1" x14ac:dyDescent="0.3"/>
  <cols>
    <col min="1" max="1" width="2.33203125" customWidth="1"/>
    <col min="2" max="2" width="29.5546875" customWidth="1"/>
    <col min="3" max="5" width="12.44140625" customWidth="1"/>
    <col min="6" max="11" width="6.77734375" customWidth="1"/>
  </cols>
  <sheetData>
    <row r="1" spans="1:5" ht="27.75" customHeight="1" x14ac:dyDescent="0.3">
      <c r="A1" s="21" t="s">
        <v>0</v>
      </c>
      <c r="B1" s="22"/>
      <c r="C1" s="22"/>
      <c r="D1" s="22"/>
      <c r="E1" s="22"/>
    </row>
    <row r="2" spans="1:5" ht="19.5" customHeight="1" x14ac:dyDescent="0.3">
      <c r="A2" s="1"/>
      <c r="B2" s="2"/>
      <c r="C2" s="2" t="s">
        <v>1</v>
      </c>
      <c r="D2" s="2" t="s">
        <v>2</v>
      </c>
      <c r="E2" s="2" t="s">
        <v>3</v>
      </c>
    </row>
    <row r="3" spans="1:5" ht="14.4" x14ac:dyDescent="0.3">
      <c r="A3" s="23" t="s">
        <v>4</v>
      </c>
      <c r="B3" s="24"/>
      <c r="C3" s="24"/>
      <c r="D3" s="24"/>
      <c r="E3" s="25"/>
    </row>
    <row r="4" spans="1:5" ht="14.4" x14ac:dyDescent="0.3">
      <c r="A4" s="3" t="s">
        <v>5</v>
      </c>
      <c r="B4" s="4"/>
      <c r="C4" s="5">
        <v>384264.2</v>
      </c>
      <c r="D4" s="5">
        <v>432788.7</v>
      </c>
      <c r="E4" s="5">
        <v>477584.5</v>
      </c>
    </row>
    <row r="5" spans="1:5" ht="14.4" x14ac:dyDescent="0.3">
      <c r="A5" s="6" t="s">
        <v>6</v>
      </c>
      <c r="B5" s="7"/>
      <c r="C5" s="8">
        <v>2280.6999999999998</v>
      </c>
      <c r="D5" s="8">
        <v>6068.1</v>
      </c>
      <c r="E5" s="8">
        <v>7384</v>
      </c>
    </row>
    <row r="6" spans="1:5" ht="14.4" x14ac:dyDescent="0.3">
      <c r="A6" s="9" t="s">
        <v>7</v>
      </c>
      <c r="B6" s="10"/>
      <c r="C6" s="11">
        <f t="shared" ref="C6:E6" si="0">SUM(C4:C5)</f>
        <v>386544.9</v>
      </c>
      <c r="D6" s="11">
        <f t="shared" si="0"/>
        <v>438856.8</v>
      </c>
      <c r="E6" s="11">
        <f t="shared" si="0"/>
        <v>484968.5</v>
      </c>
    </row>
    <row r="7" spans="1:5" ht="14.4" x14ac:dyDescent="0.3">
      <c r="A7" s="3" t="s">
        <v>8</v>
      </c>
      <c r="B7" s="4"/>
      <c r="C7" s="5">
        <v>9215.1</v>
      </c>
      <c r="D7" s="5">
        <v>6345.2</v>
      </c>
      <c r="E7" s="5">
        <v>13541.9</v>
      </c>
    </row>
    <row r="8" spans="1:5" ht="14.4" x14ac:dyDescent="0.3">
      <c r="A8" s="9" t="s">
        <v>9</v>
      </c>
      <c r="B8" s="10"/>
      <c r="C8" s="11">
        <f t="shared" ref="C8:E8" si="1">C6+C7</f>
        <v>395760</v>
      </c>
      <c r="D8" s="11">
        <f t="shared" si="1"/>
        <v>445202</v>
      </c>
      <c r="E8" s="11">
        <f t="shared" si="1"/>
        <v>498510.4</v>
      </c>
    </row>
    <row r="9" spans="1:5" ht="6" customHeight="1" x14ac:dyDescent="0.3"/>
    <row r="10" spans="1:5" ht="14.4" x14ac:dyDescent="0.3">
      <c r="A10" s="23" t="s">
        <v>10</v>
      </c>
      <c r="B10" s="24"/>
      <c r="C10" s="24"/>
      <c r="D10" s="24"/>
      <c r="E10" s="25"/>
    </row>
    <row r="11" spans="1:5" ht="14.4" x14ac:dyDescent="0.3">
      <c r="A11" s="3" t="s">
        <v>11</v>
      </c>
      <c r="B11" s="4"/>
      <c r="C11" s="5">
        <v>70491.199999999997</v>
      </c>
      <c r="D11" s="5">
        <v>77775.7</v>
      </c>
      <c r="E11" s="5">
        <v>69043.3</v>
      </c>
    </row>
    <row r="12" spans="1:5" ht="14.4" x14ac:dyDescent="0.3">
      <c r="A12" s="6" t="s">
        <v>12</v>
      </c>
      <c r="B12" s="7"/>
      <c r="C12" s="8">
        <v>34100.300000000003</v>
      </c>
      <c r="D12" s="8">
        <v>35715</v>
      </c>
      <c r="E12" s="8">
        <v>34661.5</v>
      </c>
    </row>
    <row r="13" spans="1:5" ht="14.4" x14ac:dyDescent="0.3">
      <c r="A13" s="3" t="s">
        <v>13</v>
      </c>
      <c r="B13" s="4"/>
      <c r="C13" s="5">
        <v>-1076.0999999999999</v>
      </c>
      <c r="D13" s="5">
        <v>-6869.1</v>
      </c>
      <c r="E13" s="5">
        <v>2921.3</v>
      </c>
    </row>
    <row r="14" spans="1:5" ht="14.4" x14ac:dyDescent="0.3">
      <c r="A14" s="6" t="s">
        <v>14</v>
      </c>
      <c r="B14" s="7"/>
      <c r="C14" s="8">
        <v>73008.3</v>
      </c>
      <c r="D14" s="8">
        <v>82960.3</v>
      </c>
      <c r="E14" s="8">
        <v>94290.6</v>
      </c>
    </row>
    <row r="15" spans="1:5" ht="14.4" x14ac:dyDescent="0.3">
      <c r="A15" s="3" t="s">
        <v>15</v>
      </c>
      <c r="B15" s="4"/>
      <c r="C15" s="5">
        <v>1273.5</v>
      </c>
      <c r="D15" s="5">
        <v>1720</v>
      </c>
      <c r="E15" s="5">
        <v>2384.6999999999998</v>
      </c>
    </row>
    <row r="16" spans="1:5" ht="14.4" x14ac:dyDescent="0.3">
      <c r="A16" s="6" t="s">
        <v>16</v>
      </c>
      <c r="B16" s="7"/>
      <c r="C16" s="8">
        <v>21437.4</v>
      </c>
      <c r="D16" s="8">
        <v>25294.3</v>
      </c>
      <c r="E16" s="8">
        <v>25566.400000000001</v>
      </c>
    </row>
    <row r="17" spans="1:5" ht="14.4" x14ac:dyDescent="0.3">
      <c r="A17" s="3" t="s">
        <v>17</v>
      </c>
      <c r="B17" s="4"/>
      <c r="C17" s="5">
        <v>107583.6</v>
      </c>
      <c r="D17" s="5">
        <v>131546</v>
      </c>
      <c r="E17" s="5">
        <v>154181.79999999999</v>
      </c>
    </row>
    <row r="18" spans="1:5" ht="14.4" x14ac:dyDescent="0.3">
      <c r="A18" s="6" t="s">
        <v>18</v>
      </c>
      <c r="B18" s="7"/>
      <c r="C18" s="8">
        <v>-236.5</v>
      </c>
      <c r="D18" s="8">
        <v>1261</v>
      </c>
      <c r="E18" s="8">
        <v>-361.3</v>
      </c>
    </row>
    <row r="19" spans="1:5" ht="14.4" x14ac:dyDescent="0.3">
      <c r="A19" s="9" t="s">
        <v>19</v>
      </c>
      <c r="B19" s="10"/>
      <c r="C19" s="11">
        <f t="shared" ref="C19:E19" si="2">SUM(C11:C18)</f>
        <v>306581.7</v>
      </c>
      <c r="D19" s="11">
        <f t="shared" si="2"/>
        <v>349403.19999999995</v>
      </c>
      <c r="E19" s="11">
        <f t="shared" si="2"/>
        <v>382688.3</v>
      </c>
    </row>
    <row r="20" spans="1:5" ht="6" customHeight="1" x14ac:dyDescent="0.3"/>
    <row r="21" spans="1:5" ht="15.75" customHeight="1" x14ac:dyDescent="0.3">
      <c r="A21" s="23" t="s">
        <v>20</v>
      </c>
      <c r="B21" s="24"/>
      <c r="C21" s="24"/>
      <c r="D21" s="24"/>
      <c r="E21" s="25"/>
    </row>
    <row r="22" spans="1:5" ht="15.75" customHeight="1" x14ac:dyDescent="0.3">
      <c r="A22" s="3" t="s">
        <v>21</v>
      </c>
      <c r="B22" s="4"/>
      <c r="C22" s="5">
        <v>90481.4</v>
      </c>
      <c r="D22" s="5">
        <v>95798.8</v>
      </c>
      <c r="E22" s="5">
        <v>115822.1</v>
      </c>
    </row>
    <row r="23" spans="1:5" ht="15.75" customHeight="1" x14ac:dyDescent="0.3">
      <c r="A23" s="6" t="s">
        <v>22</v>
      </c>
      <c r="B23" s="7"/>
      <c r="C23" s="8">
        <v>45668.2</v>
      </c>
      <c r="D23" s="8">
        <v>1714.5</v>
      </c>
      <c r="E23" s="8">
        <v>4943.2</v>
      </c>
    </row>
    <row r="24" spans="1:5" ht="15.75" customHeight="1" x14ac:dyDescent="0.3">
      <c r="A24" s="3" t="s">
        <v>23</v>
      </c>
      <c r="B24" s="4"/>
      <c r="C24" s="5">
        <v>44813.2</v>
      </c>
      <c r="D24" s="5">
        <v>94084.3</v>
      </c>
      <c r="E24" s="5">
        <v>110878.9</v>
      </c>
    </row>
    <row r="25" spans="1:5" ht="15.75" customHeight="1" x14ac:dyDescent="0.3">
      <c r="A25" s="6" t="s">
        <v>24</v>
      </c>
      <c r="B25" s="7"/>
      <c r="C25" s="8">
        <v>10755</v>
      </c>
      <c r="D25" s="8">
        <v>8475.9</v>
      </c>
      <c r="E25" s="8">
        <v>14394.5</v>
      </c>
    </row>
    <row r="26" spans="1:5" ht="15.75" customHeight="1" x14ac:dyDescent="0.3">
      <c r="A26" s="9" t="s">
        <v>25</v>
      </c>
      <c r="B26" s="10"/>
      <c r="C26" s="11">
        <f t="shared" ref="C26:E26" si="3">C24-C25</f>
        <v>34058.199999999997</v>
      </c>
      <c r="D26" s="11">
        <f t="shared" si="3"/>
        <v>85608.400000000009</v>
      </c>
      <c r="E26" s="11">
        <f t="shared" si="3"/>
        <v>96484.4</v>
      </c>
    </row>
    <row r="27" spans="1:5" ht="15.75" customHeight="1" x14ac:dyDescent="0.3">
      <c r="A27" s="3" t="s">
        <v>26</v>
      </c>
      <c r="B27" s="4"/>
      <c r="C27" s="5">
        <v>-165.4</v>
      </c>
      <c r="D27" s="5">
        <v>-479</v>
      </c>
      <c r="E27" s="5">
        <v>-384.1</v>
      </c>
    </row>
    <row r="28" spans="1:5" ht="15.75" customHeight="1" x14ac:dyDescent="0.3">
      <c r="A28" s="6" t="s">
        <v>27</v>
      </c>
      <c r="B28" s="7"/>
      <c r="C28" s="8">
        <v>1165.5</v>
      </c>
      <c r="D28" s="8">
        <v>393.6</v>
      </c>
      <c r="E28" s="8">
        <v>336.5</v>
      </c>
    </row>
    <row r="29" spans="1:5" ht="15.75" customHeight="1" x14ac:dyDescent="0.3">
      <c r="A29" s="9" t="s">
        <v>28</v>
      </c>
      <c r="B29" s="10"/>
      <c r="C29" s="11">
        <f t="shared" ref="C29:E29" si="4">C26+C27-C28</f>
        <v>32727.299999999996</v>
      </c>
      <c r="D29" s="11">
        <f t="shared" si="4"/>
        <v>84735.8</v>
      </c>
      <c r="E29" s="11">
        <f t="shared" si="4"/>
        <v>95763.799999999988</v>
      </c>
    </row>
    <row r="30" spans="1:5" ht="6" customHeight="1" x14ac:dyDescent="0.3"/>
    <row r="31" spans="1:5" ht="15.75" customHeight="1" x14ac:dyDescent="0.3">
      <c r="A31" s="23" t="s">
        <v>29</v>
      </c>
      <c r="B31" s="24"/>
      <c r="C31" s="24"/>
      <c r="D31" s="24"/>
      <c r="E31" s="25"/>
    </row>
    <row r="32" spans="1:5" ht="15.75" customHeight="1" x14ac:dyDescent="0.3">
      <c r="A32" s="3" t="s">
        <v>30</v>
      </c>
      <c r="B32" s="4"/>
      <c r="C32" s="12">
        <f t="shared" ref="C32:E32" si="5">(C22+C16)/C6</f>
        <v>0.28953635140445516</v>
      </c>
      <c r="D32" s="12">
        <f t="shared" si="5"/>
        <v>0.27592850332955993</v>
      </c>
      <c r="E32" s="12">
        <f t="shared" si="5"/>
        <v>0.29154161558946612</v>
      </c>
    </row>
    <row r="33" spans="1:5" ht="15.75" customHeight="1" x14ac:dyDescent="0.3">
      <c r="A33" s="6" t="s">
        <v>31</v>
      </c>
      <c r="B33" s="7"/>
      <c r="C33" s="13">
        <f t="shared" ref="C33:E33" si="6">C22/C6</f>
        <v>0.23407733487105895</v>
      </c>
      <c r="D33" s="13">
        <f t="shared" si="6"/>
        <v>0.21829170699872943</v>
      </c>
      <c r="E33" s="13">
        <f t="shared" si="6"/>
        <v>0.23882396485544938</v>
      </c>
    </row>
    <row r="34" spans="1:5" ht="15.75" customHeight="1" x14ac:dyDescent="0.3">
      <c r="A34" s="3" t="s">
        <v>32</v>
      </c>
      <c r="B34" s="4"/>
      <c r="C34" s="12">
        <f t="shared" ref="C34:E34" si="7">C29/C6</f>
        <v>8.4666231529635996E-2</v>
      </c>
      <c r="D34" s="12">
        <f t="shared" si="7"/>
        <v>0.19308302845028266</v>
      </c>
      <c r="E34" s="12">
        <f t="shared" si="7"/>
        <v>0.19746395899939892</v>
      </c>
    </row>
    <row r="35" spans="1:5" ht="15.75" customHeight="1" x14ac:dyDescent="0.3">
      <c r="A35" s="6" t="s">
        <v>33</v>
      </c>
      <c r="B35" s="7"/>
      <c r="C35" s="13">
        <f t="shared" ref="C35:E35" si="8">C25/C24</f>
        <v>0.23999625110458528</v>
      </c>
      <c r="D35" s="13">
        <f t="shared" si="8"/>
        <v>9.0088356930965091E-2</v>
      </c>
      <c r="E35" s="13">
        <f t="shared" si="8"/>
        <v>0.12982181461035419</v>
      </c>
    </row>
    <row r="36" spans="1:5" ht="6" customHeight="1" x14ac:dyDescent="0.3"/>
    <row r="37" spans="1:5" ht="15.75" customHeight="1" x14ac:dyDescent="0.3">
      <c r="A37" s="26"/>
      <c r="B37" s="22"/>
      <c r="C37" s="22"/>
      <c r="D37" s="22"/>
      <c r="E37" s="22"/>
    </row>
    <row r="38" spans="1:5" ht="15.75" customHeight="1" x14ac:dyDescent="0.3"/>
    <row r="39" spans="1:5" ht="15.75" customHeight="1" x14ac:dyDescent="0.3"/>
    <row r="40" spans="1:5" ht="15.75" customHeight="1" x14ac:dyDescent="0.3"/>
    <row r="41" spans="1:5" ht="15.75" customHeight="1" x14ac:dyDescent="0.3"/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6">
    <mergeCell ref="A37:E37"/>
    <mergeCell ref="A1:E1"/>
    <mergeCell ref="A3:E3"/>
    <mergeCell ref="A10:E10"/>
    <mergeCell ref="A21:E21"/>
    <mergeCell ref="A31:E3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pane xSplit="2" ySplit="2" topLeftCell="C46" activePane="bottomRight" state="frozen"/>
      <selection pane="topRight" activeCell="C1" sqref="C1"/>
      <selection pane="bottomLeft" activeCell="A3" sqref="A3"/>
      <selection pane="bottomRight" activeCell="A58" sqref="A58:E58"/>
    </sheetView>
  </sheetViews>
  <sheetFormatPr defaultColWidth="11.21875" defaultRowHeight="15" customHeight="1" x14ac:dyDescent="0.3"/>
  <cols>
    <col min="1" max="1" width="2.33203125" customWidth="1"/>
    <col min="2" max="2" width="29.5546875" customWidth="1"/>
    <col min="3" max="5" width="12.44140625" customWidth="1"/>
    <col min="6" max="11" width="6.77734375" customWidth="1"/>
  </cols>
  <sheetData>
    <row r="1" spans="1:5" ht="27.75" customHeight="1" x14ac:dyDescent="0.3">
      <c r="A1" s="21" t="s">
        <v>34</v>
      </c>
      <c r="B1" s="22"/>
      <c r="C1" s="22"/>
      <c r="D1" s="22"/>
      <c r="E1" s="22"/>
    </row>
    <row r="2" spans="1:5" ht="19.5" customHeight="1" x14ac:dyDescent="0.3">
      <c r="A2" s="1"/>
      <c r="B2" s="2"/>
      <c r="C2" s="2" t="s">
        <v>1</v>
      </c>
      <c r="D2" s="2" t="s">
        <v>2</v>
      </c>
      <c r="E2" s="2" t="s">
        <v>3</v>
      </c>
    </row>
    <row r="3" spans="1:5" ht="14.4" x14ac:dyDescent="0.3">
      <c r="A3" s="23" t="s">
        <v>35</v>
      </c>
      <c r="B3" s="24"/>
      <c r="C3" s="24"/>
      <c r="D3" s="24"/>
      <c r="E3" s="25"/>
    </row>
    <row r="4" spans="1:5" ht="14.4" x14ac:dyDescent="0.3">
      <c r="A4" s="27" t="s">
        <v>36</v>
      </c>
      <c r="B4" s="24"/>
      <c r="C4" s="24"/>
      <c r="D4" s="24"/>
      <c r="E4" s="25"/>
    </row>
    <row r="5" spans="1:5" ht="14.4" x14ac:dyDescent="0.3">
      <c r="A5" s="3" t="s">
        <v>37</v>
      </c>
      <c r="B5" s="4"/>
      <c r="C5" s="5">
        <v>102349.9</v>
      </c>
      <c r="D5" s="5">
        <v>103903.8</v>
      </c>
      <c r="E5" s="5">
        <v>101923.2</v>
      </c>
    </row>
    <row r="6" spans="1:5" ht="14.4" x14ac:dyDescent="0.3">
      <c r="A6" s="6" t="s">
        <v>38</v>
      </c>
      <c r="B6" s="7"/>
      <c r="C6" s="8">
        <v>9365.2000000000007</v>
      </c>
      <c r="D6" s="8">
        <v>9633.5</v>
      </c>
      <c r="E6" s="8">
        <v>11077.3</v>
      </c>
    </row>
    <row r="7" spans="1:5" ht="14.4" x14ac:dyDescent="0.3">
      <c r="A7" s="3" t="s">
        <v>39</v>
      </c>
      <c r="B7" s="4"/>
      <c r="C7" s="5">
        <v>62876.4</v>
      </c>
      <c r="D7" s="5">
        <v>83580.3</v>
      </c>
      <c r="E7" s="5">
        <v>85989.5</v>
      </c>
    </row>
    <row r="8" spans="1:5" ht="14.4" x14ac:dyDescent="0.3">
      <c r="A8" s="6" t="s">
        <v>40</v>
      </c>
      <c r="B8" s="7"/>
      <c r="C8" s="8">
        <v>50303.5</v>
      </c>
      <c r="D8" s="8">
        <v>53170.3</v>
      </c>
      <c r="E8" s="8">
        <v>44201.1</v>
      </c>
    </row>
    <row r="9" spans="1:5" ht="14.4" x14ac:dyDescent="0.3">
      <c r="A9" s="3" t="s">
        <v>41</v>
      </c>
      <c r="B9" s="4"/>
      <c r="C9" s="5">
        <v>6303.1</v>
      </c>
      <c r="D9" s="5">
        <v>40098.1</v>
      </c>
      <c r="E9" s="5">
        <v>42461.5</v>
      </c>
    </row>
    <row r="10" spans="1:5" ht="14.4" x14ac:dyDescent="0.3">
      <c r="A10" s="6" t="s">
        <v>42</v>
      </c>
      <c r="B10" s="7"/>
      <c r="C10" s="8">
        <v>2605.6</v>
      </c>
      <c r="D10" s="8">
        <v>3836.4</v>
      </c>
      <c r="E10" s="8">
        <v>4426.1000000000004</v>
      </c>
    </row>
    <row r="11" spans="1:5" ht="14.4" x14ac:dyDescent="0.3">
      <c r="A11" s="3" t="s">
        <v>43</v>
      </c>
      <c r="B11" s="4"/>
      <c r="C11" s="5">
        <v>62218.3</v>
      </c>
      <c r="D11" s="5">
        <v>50680.9</v>
      </c>
      <c r="E11" s="5">
        <v>59986.2</v>
      </c>
    </row>
    <row r="12" spans="1:5" ht="14.4" x14ac:dyDescent="0.3">
      <c r="A12" s="6" t="s">
        <v>44</v>
      </c>
      <c r="B12" s="7"/>
      <c r="C12" s="8">
        <v>35564.400000000001</v>
      </c>
      <c r="D12" s="8">
        <v>35189.199999999997</v>
      </c>
      <c r="E12" s="8">
        <v>41036.5</v>
      </c>
    </row>
    <row r="13" spans="1:5" ht="14.4" x14ac:dyDescent="0.3">
      <c r="A13" s="3" t="s">
        <v>45</v>
      </c>
      <c r="B13" s="4"/>
      <c r="C13" s="5">
        <v>34327.800000000003</v>
      </c>
      <c r="D13" s="5">
        <v>23069.8</v>
      </c>
      <c r="E13" s="5">
        <v>22850.3</v>
      </c>
    </row>
    <row r="14" spans="1:5" ht="14.4" x14ac:dyDescent="0.3">
      <c r="A14" s="6" t="s">
        <v>46</v>
      </c>
      <c r="B14" s="7"/>
      <c r="C14" s="8">
        <v>6333.2</v>
      </c>
      <c r="D14" s="8">
        <v>5434.1</v>
      </c>
      <c r="E14" s="8">
        <v>5918.8</v>
      </c>
    </row>
    <row r="15" spans="1:5" ht="14.4" x14ac:dyDescent="0.3">
      <c r="A15" s="9" t="s">
        <v>47</v>
      </c>
      <c r="B15" s="10"/>
      <c r="C15" s="11">
        <f t="shared" ref="C15:E15" si="0">SUM(C5:C14)</f>
        <v>372247.4</v>
      </c>
      <c r="D15" s="11">
        <f t="shared" si="0"/>
        <v>408596.4</v>
      </c>
      <c r="E15" s="11">
        <f t="shared" si="0"/>
        <v>419870.49999999994</v>
      </c>
    </row>
    <row r="16" spans="1:5" ht="6" customHeight="1" x14ac:dyDescent="0.3"/>
    <row r="17" spans="1:5" ht="14.4" x14ac:dyDescent="0.3">
      <c r="A17" s="27" t="s">
        <v>48</v>
      </c>
      <c r="B17" s="24"/>
      <c r="C17" s="24"/>
      <c r="D17" s="24"/>
      <c r="E17" s="25"/>
    </row>
    <row r="18" spans="1:5" ht="14.4" x14ac:dyDescent="0.3">
      <c r="A18" s="3" t="s">
        <v>49</v>
      </c>
      <c r="B18" s="4"/>
      <c r="C18" s="5">
        <v>89970.2</v>
      </c>
      <c r="D18" s="5">
        <v>105130.5</v>
      </c>
      <c r="E18" s="5">
        <v>98682.9</v>
      </c>
    </row>
    <row r="19" spans="1:5" ht="14.4" x14ac:dyDescent="0.3">
      <c r="A19" s="6" t="s">
        <v>50</v>
      </c>
      <c r="B19" s="7"/>
      <c r="C19" s="8">
        <v>31300.6</v>
      </c>
      <c r="D19" s="8">
        <v>93726.1</v>
      </c>
      <c r="E19" s="8">
        <v>85845.4</v>
      </c>
    </row>
    <row r="20" spans="1:5" ht="14.4" x14ac:dyDescent="0.3">
      <c r="A20" s="3" t="s">
        <v>51</v>
      </c>
      <c r="B20" s="4"/>
      <c r="C20" s="5">
        <v>90614</v>
      </c>
      <c r="D20" s="5">
        <v>114385.1</v>
      </c>
      <c r="E20" s="5">
        <v>112493.7</v>
      </c>
    </row>
    <row r="21" spans="1:5" ht="15.75" customHeight="1" x14ac:dyDescent="0.3">
      <c r="A21" s="6" t="s">
        <v>52</v>
      </c>
      <c r="B21" s="7"/>
      <c r="C21" s="8">
        <v>62730.3</v>
      </c>
      <c r="D21" s="8">
        <v>46237.3</v>
      </c>
      <c r="E21" s="8">
        <v>92856.5</v>
      </c>
    </row>
    <row r="22" spans="1:5" ht="15.75" customHeight="1" x14ac:dyDescent="0.3">
      <c r="A22" s="3" t="s">
        <v>53</v>
      </c>
      <c r="B22" s="4"/>
      <c r="C22" s="5">
        <v>1724.8</v>
      </c>
      <c r="D22" s="5">
        <v>11465.6</v>
      </c>
      <c r="E22" s="5">
        <v>12350.3</v>
      </c>
    </row>
    <row r="23" spans="1:5" ht="15.75" customHeight="1" x14ac:dyDescent="0.3">
      <c r="A23" s="6" t="s">
        <v>54</v>
      </c>
      <c r="B23" s="7"/>
      <c r="C23" s="8">
        <v>560.1</v>
      </c>
      <c r="D23" s="8">
        <v>413.2</v>
      </c>
      <c r="E23" s="8">
        <v>650.20000000000005</v>
      </c>
    </row>
    <row r="24" spans="1:5" ht="15.75" customHeight="1" x14ac:dyDescent="0.3">
      <c r="A24" s="3" t="s">
        <v>55</v>
      </c>
      <c r="B24" s="4"/>
      <c r="C24" s="5">
        <v>8759.2999999999993</v>
      </c>
      <c r="D24" s="5">
        <v>7645.1</v>
      </c>
      <c r="E24" s="5">
        <v>9172</v>
      </c>
    </row>
    <row r="25" spans="1:5" ht="15.75" customHeight="1" x14ac:dyDescent="0.3">
      <c r="A25" s="6" t="s">
        <v>56</v>
      </c>
      <c r="B25" s="7"/>
      <c r="C25" s="8">
        <v>18761.5</v>
      </c>
      <c r="D25" s="8">
        <v>19616.5</v>
      </c>
      <c r="E25" s="8">
        <v>22280.1</v>
      </c>
    </row>
    <row r="26" spans="1:5" ht="15.75" customHeight="1" x14ac:dyDescent="0.3">
      <c r="A26" s="9" t="s">
        <v>57</v>
      </c>
      <c r="B26" s="10"/>
      <c r="C26" s="11">
        <f t="shared" ref="C26:E26" si="1">SUM(C18:C25)</f>
        <v>304420.79999999993</v>
      </c>
      <c r="D26" s="11">
        <f t="shared" si="1"/>
        <v>398619.39999999997</v>
      </c>
      <c r="E26" s="11">
        <f t="shared" si="1"/>
        <v>434331.1</v>
      </c>
    </row>
    <row r="27" spans="1:5" ht="15.75" customHeight="1" x14ac:dyDescent="0.3">
      <c r="A27" s="9" t="s">
        <v>58</v>
      </c>
      <c r="B27" s="10"/>
      <c r="C27" s="11">
        <f t="shared" ref="C27:E27" si="2">C15+C26</f>
        <v>676668.2</v>
      </c>
      <c r="D27" s="11">
        <f t="shared" si="2"/>
        <v>807215.8</v>
      </c>
      <c r="E27" s="11">
        <f t="shared" si="2"/>
        <v>854201.59999999986</v>
      </c>
    </row>
    <row r="28" spans="1:5" ht="6" customHeight="1" x14ac:dyDescent="0.3"/>
    <row r="29" spans="1:5" ht="15.75" customHeight="1" x14ac:dyDescent="0.3">
      <c r="A29" s="23" t="s">
        <v>59</v>
      </c>
      <c r="B29" s="24"/>
      <c r="C29" s="24"/>
      <c r="D29" s="24"/>
      <c r="E29" s="25"/>
    </row>
    <row r="30" spans="1:5" ht="15.75" customHeight="1" x14ac:dyDescent="0.3">
      <c r="A30" s="27" t="s">
        <v>60</v>
      </c>
      <c r="B30" s="24"/>
      <c r="C30" s="24"/>
      <c r="D30" s="24"/>
      <c r="E30" s="25"/>
    </row>
    <row r="31" spans="1:5" ht="15.75" customHeight="1" x14ac:dyDescent="0.3">
      <c r="A31" s="3" t="s">
        <v>61</v>
      </c>
      <c r="B31" s="4"/>
      <c r="C31" s="5">
        <v>2399.3000000000002</v>
      </c>
      <c r="D31" s="5">
        <v>2399.3000000000002</v>
      </c>
      <c r="E31" s="5">
        <v>2399.3000000000002</v>
      </c>
    </row>
    <row r="32" spans="1:5" ht="15.75" customHeight="1" x14ac:dyDescent="0.3">
      <c r="A32" s="6" t="s">
        <v>62</v>
      </c>
      <c r="B32" s="7"/>
      <c r="C32" s="8">
        <v>462228.5</v>
      </c>
      <c r="D32" s="8">
        <v>557554.5</v>
      </c>
      <c r="E32" s="8">
        <v>634268.19999999995</v>
      </c>
    </row>
    <row r="33" spans="1:5" ht="15.75" customHeight="1" x14ac:dyDescent="0.3">
      <c r="A33" s="3" t="s">
        <v>27</v>
      </c>
      <c r="B33" s="4"/>
      <c r="C33" s="5">
        <v>30170.5</v>
      </c>
      <c r="D33" s="5">
        <v>33200.9</v>
      </c>
      <c r="E33" s="5">
        <v>34392.199999999997</v>
      </c>
    </row>
    <row r="34" spans="1:5" ht="15.75" customHeight="1" x14ac:dyDescent="0.3">
      <c r="A34" s="9" t="s">
        <v>63</v>
      </c>
      <c r="B34" s="10"/>
      <c r="C34" s="11">
        <f t="shared" ref="C34:E34" si="3">SUM(C31:C33)</f>
        <v>494798.3</v>
      </c>
      <c r="D34" s="11">
        <f t="shared" si="3"/>
        <v>593154.70000000007</v>
      </c>
      <c r="E34" s="11">
        <f t="shared" si="3"/>
        <v>671059.69999999995</v>
      </c>
    </row>
    <row r="35" spans="1:5" ht="6" customHeight="1" x14ac:dyDescent="0.3"/>
    <row r="36" spans="1:5" ht="15.75" customHeight="1" x14ac:dyDescent="0.3">
      <c r="A36" s="27" t="s">
        <v>64</v>
      </c>
      <c r="B36" s="24"/>
      <c r="C36" s="24"/>
      <c r="D36" s="24"/>
      <c r="E36" s="25"/>
    </row>
    <row r="37" spans="1:5" ht="15.75" customHeight="1" x14ac:dyDescent="0.3">
      <c r="A37" s="3" t="s">
        <v>65</v>
      </c>
      <c r="B37" s="4"/>
      <c r="C37" s="5">
        <v>6547.1</v>
      </c>
      <c r="D37" s="5">
        <v>0</v>
      </c>
      <c r="E37" s="5">
        <v>13.3</v>
      </c>
    </row>
    <row r="38" spans="1:5" ht="15.75" customHeight="1" x14ac:dyDescent="0.3">
      <c r="A38" s="6" t="s">
        <v>66</v>
      </c>
      <c r="B38" s="7"/>
      <c r="C38" s="8">
        <v>2434.1999999999998</v>
      </c>
      <c r="D38" s="8">
        <v>5599.1</v>
      </c>
      <c r="E38" s="8">
        <v>3022.9</v>
      </c>
    </row>
    <row r="39" spans="1:5" ht="15.75" customHeight="1" x14ac:dyDescent="0.3">
      <c r="A39" s="3" t="s">
        <v>67</v>
      </c>
      <c r="B39" s="4"/>
      <c r="C39" s="5">
        <v>3271.2</v>
      </c>
      <c r="D39" s="5">
        <v>3429.1</v>
      </c>
      <c r="E39" s="5">
        <v>4138.8999999999996</v>
      </c>
    </row>
    <row r="40" spans="1:5" ht="15.75" customHeight="1" x14ac:dyDescent="0.3">
      <c r="A40" s="6" t="s">
        <v>68</v>
      </c>
      <c r="B40" s="7"/>
      <c r="C40" s="8">
        <v>445.1</v>
      </c>
      <c r="D40" s="8">
        <v>316.89999999999998</v>
      </c>
      <c r="E40" s="8">
        <v>1550.6</v>
      </c>
    </row>
    <row r="41" spans="1:5" ht="15.75" customHeight="1" x14ac:dyDescent="0.3">
      <c r="A41" s="3" t="s">
        <v>69</v>
      </c>
      <c r="B41" s="4"/>
      <c r="C41" s="5">
        <v>7714.9</v>
      </c>
      <c r="D41" s="5">
        <v>5866.1</v>
      </c>
      <c r="E41" s="5">
        <v>4999.3999999999996</v>
      </c>
    </row>
    <row r="42" spans="1:5" ht="15.75" customHeight="1" x14ac:dyDescent="0.3">
      <c r="A42" s="9" t="s">
        <v>70</v>
      </c>
      <c r="B42" s="10"/>
      <c r="C42" s="11">
        <f t="shared" ref="C42:E42" si="4">SUM(C37:C41)</f>
        <v>20412.5</v>
      </c>
      <c r="D42" s="11">
        <f t="shared" si="4"/>
        <v>15211.2</v>
      </c>
      <c r="E42" s="11">
        <f t="shared" si="4"/>
        <v>13725.1</v>
      </c>
    </row>
    <row r="43" spans="1:5" ht="6" customHeight="1" x14ac:dyDescent="0.3"/>
    <row r="44" spans="1:5" ht="15.75" customHeight="1" x14ac:dyDescent="0.3">
      <c r="A44" s="27" t="s">
        <v>71</v>
      </c>
      <c r="B44" s="24"/>
      <c r="C44" s="24"/>
      <c r="D44" s="24"/>
      <c r="E44" s="25"/>
    </row>
    <row r="45" spans="1:5" ht="15.75" customHeight="1" x14ac:dyDescent="0.3">
      <c r="A45" s="3" t="s">
        <v>72</v>
      </c>
      <c r="B45" s="4"/>
      <c r="C45" s="5">
        <v>28687.8</v>
      </c>
      <c r="D45" s="5">
        <v>61978.8</v>
      </c>
      <c r="E45" s="5">
        <v>28443.599999999999</v>
      </c>
    </row>
    <row r="46" spans="1:5" ht="15.75" customHeight="1" x14ac:dyDescent="0.3">
      <c r="A46" s="6" t="s">
        <v>73</v>
      </c>
      <c r="B46" s="7"/>
      <c r="C46" s="8">
        <v>1016.7</v>
      </c>
      <c r="D46" s="8">
        <v>1280.8</v>
      </c>
      <c r="E46" s="8">
        <v>1256.9000000000001</v>
      </c>
    </row>
    <row r="47" spans="1:5" ht="15.75" customHeight="1" x14ac:dyDescent="0.3">
      <c r="A47" s="3" t="s">
        <v>74</v>
      </c>
      <c r="B47" s="4"/>
      <c r="C47" s="5">
        <v>39736.6</v>
      </c>
      <c r="D47" s="5">
        <v>56815.199999999997</v>
      </c>
      <c r="E47" s="5">
        <v>56533</v>
      </c>
    </row>
    <row r="48" spans="1:5" ht="15.75" customHeight="1" x14ac:dyDescent="0.3">
      <c r="A48" s="6" t="s">
        <v>75</v>
      </c>
      <c r="B48" s="7"/>
      <c r="C48" s="8">
        <v>37118</v>
      </c>
      <c r="D48" s="8">
        <v>15930.9</v>
      </c>
      <c r="E48" s="8">
        <v>15067</v>
      </c>
    </row>
    <row r="49" spans="1:5" ht="15.75" customHeight="1" x14ac:dyDescent="0.3">
      <c r="A49" s="3" t="s">
        <v>76</v>
      </c>
      <c r="B49" s="4"/>
      <c r="C49" s="5">
        <v>7279.9</v>
      </c>
      <c r="D49" s="5">
        <v>6427.2</v>
      </c>
      <c r="E49" s="5">
        <v>10844.6</v>
      </c>
    </row>
    <row r="50" spans="1:5" ht="15.75" customHeight="1" x14ac:dyDescent="0.3">
      <c r="A50" s="6" t="s">
        <v>77</v>
      </c>
      <c r="B50" s="7"/>
      <c r="C50" s="8">
        <v>45826.5</v>
      </c>
      <c r="D50" s="8">
        <v>53543.8</v>
      </c>
      <c r="E50" s="8">
        <v>53575.6</v>
      </c>
    </row>
    <row r="51" spans="1:5" ht="15.75" customHeight="1" x14ac:dyDescent="0.3">
      <c r="A51" s="3" t="s">
        <v>78</v>
      </c>
      <c r="B51" s="4"/>
      <c r="C51" s="5">
        <v>1790.8</v>
      </c>
      <c r="D51" s="5">
        <v>3087.1</v>
      </c>
      <c r="E51" s="5">
        <v>4117</v>
      </c>
    </row>
    <row r="52" spans="1:5" ht="15.75" customHeight="1" x14ac:dyDescent="0.3">
      <c r="A52" s="9" t="s">
        <v>79</v>
      </c>
      <c r="B52" s="10"/>
      <c r="C52" s="11">
        <f t="shared" ref="C52:E52" si="5">SUM(C45:C51)</f>
        <v>161456.29999999999</v>
      </c>
      <c r="D52" s="11">
        <f t="shared" si="5"/>
        <v>199063.80000000002</v>
      </c>
      <c r="E52" s="11">
        <f t="shared" si="5"/>
        <v>169837.7</v>
      </c>
    </row>
    <row r="53" spans="1:5" ht="15.75" customHeight="1" x14ac:dyDescent="0.3">
      <c r="A53" s="9" t="s">
        <v>80</v>
      </c>
      <c r="B53" s="10"/>
      <c r="C53" s="11">
        <f t="shared" ref="C53:E53" si="6">C34+C42+C52</f>
        <v>676667.1</v>
      </c>
      <c r="D53" s="11">
        <f t="shared" si="6"/>
        <v>807429.70000000007</v>
      </c>
      <c r="E53" s="11">
        <f t="shared" si="6"/>
        <v>854622.5</v>
      </c>
    </row>
    <row r="54" spans="1:5" ht="6" customHeight="1" x14ac:dyDescent="0.3"/>
    <row r="55" spans="1:5" ht="15.75" customHeight="1" x14ac:dyDescent="0.3">
      <c r="A55" s="23" t="s">
        <v>81</v>
      </c>
      <c r="B55" s="24"/>
      <c r="C55" s="24"/>
      <c r="D55" s="24"/>
      <c r="E55" s="25"/>
    </row>
    <row r="56" spans="1:5" ht="15.75" customHeight="1" x14ac:dyDescent="0.3">
      <c r="A56" s="9" t="s">
        <v>82</v>
      </c>
      <c r="B56" s="10"/>
      <c r="C56" s="11">
        <f t="shared" ref="C56:E56" si="7">C27-C53</f>
        <v>1.0999999999767169</v>
      </c>
      <c r="D56" s="11">
        <f t="shared" si="7"/>
        <v>-213.90000000002328</v>
      </c>
      <c r="E56" s="11">
        <f t="shared" si="7"/>
        <v>-420.9000000001397</v>
      </c>
    </row>
    <row r="57" spans="1:5" ht="6" customHeight="1" x14ac:dyDescent="0.3"/>
    <row r="58" spans="1:5" ht="15.75" customHeight="1" x14ac:dyDescent="0.3">
      <c r="A58" s="26"/>
      <c r="B58" s="22"/>
      <c r="C58" s="22"/>
      <c r="D58" s="22"/>
      <c r="E58" s="22"/>
    </row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0">
    <mergeCell ref="A44:E44"/>
    <mergeCell ref="A55:E55"/>
    <mergeCell ref="A58:E58"/>
    <mergeCell ref="A1:E1"/>
    <mergeCell ref="A3:E3"/>
    <mergeCell ref="A4:E4"/>
    <mergeCell ref="A17:E17"/>
    <mergeCell ref="A29:E29"/>
    <mergeCell ref="A30:E30"/>
    <mergeCell ref="A36:E36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A57" sqref="A57:E57"/>
    </sheetView>
  </sheetViews>
  <sheetFormatPr defaultColWidth="11.21875" defaultRowHeight="15" customHeight="1" x14ac:dyDescent="0.3"/>
  <cols>
    <col min="1" max="1" width="2.33203125" customWidth="1"/>
    <col min="2" max="2" width="29.5546875" customWidth="1"/>
    <col min="3" max="5" width="12.44140625" customWidth="1"/>
    <col min="6" max="11" width="6.77734375" customWidth="1"/>
  </cols>
  <sheetData>
    <row r="1" spans="1:5" ht="27.75" customHeight="1" x14ac:dyDescent="0.3">
      <c r="A1" s="21" t="s">
        <v>83</v>
      </c>
      <c r="B1" s="22"/>
      <c r="C1" s="22"/>
      <c r="D1" s="22"/>
      <c r="E1" s="22"/>
    </row>
    <row r="2" spans="1:5" ht="19.5" customHeight="1" x14ac:dyDescent="0.3">
      <c r="A2" s="1"/>
      <c r="B2" s="2"/>
      <c r="C2" s="2" t="s">
        <v>1</v>
      </c>
      <c r="D2" s="2" t="s">
        <v>2</v>
      </c>
      <c r="E2" s="2" t="s">
        <v>3</v>
      </c>
    </row>
    <row r="3" spans="1:5" ht="14.4" x14ac:dyDescent="0.3">
      <c r="A3" s="23" t="s">
        <v>84</v>
      </c>
      <c r="B3" s="24"/>
      <c r="C3" s="24"/>
      <c r="D3" s="24"/>
      <c r="E3" s="25"/>
    </row>
    <row r="4" spans="1:5" ht="14.4" x14ac:dyDescent="0.3">
      <c r="A4" s="3" t="s">
        <v>85</v>
      </c>
      <c r="B4" s="4"/>
      <c r="C4" s="5">
        <v>44813.2</v>
      </c>
      <c r="D4" s="5">
        <v>94084.3</v>
      </c>
      <c r="E4" s="5">
        <v>110878.9</v>
      </c>
    </row>
    <row r="5" spans="1:5" ht="14.4" x14ac:dyDescent="0.3">
      <c r="A5" s="6" t="s">
        <v>86</v>
      </c>
      <c r="B5" s="7"/>
      <c r="C5" s="8">
        <v>21437.4</v>
      </c>
      <c r="D5" s="8">
        <v>25294.3</v>
      </c>
      <c r="E5" s="8">
        <v>25566.400000000001</v>
      </c>
    </row>
    <row r="6" spans="1:5" ht="14.4" x14ac:dyDescent="0.3">
      <c r="A6" s="3" t="s">
        <v>87</v>
      </c>
      <c r="B6" s="4"/>
      <c r="C6" s="5">
        <v>1273.5</v>
      </c>
      <c r="D6" s="5">
        <v>1720</v>
      </c>
      <c r="E6" s="5">
        <v>2384.6999999999998</v>
      </c>
    </row>
    <row r="7" spans="1:5" ht="14.4" x14ac:dyDescent="0.3">
      <c r="A7" s="6" t="s">
        <v>88</v>
      </c>
      <c r="B7" s="7"/>
      <c r="C7" s="8">
        <v>-5533.7</v>
      </c>
      <c r="D7" s="8">
        <v>-3845.4</v>
      </c>
      <c r="E7" s="8">
        <v>-10229.1</v>
      </c>
    </row>
    <row r="8" spans="1:5" ht="14.4" x14ac:dyDescent="0.3">
      <c r="A8" s="3" t="s">
        <v>89</v>
      </c>
      <c r="B8" s="4"/>
      <c r="C8" s="5">
        <v>-2153.3000000000002</v>
      </c>
      <c r="D8" s="5">
        <v>-1464.5</v>
      </c>
      <c r="E8" s="5">
        <v>-1033</v>
      </c>
    </row>
    <row r="9" spans="1:5" ht="14.4" x14ac:dyDescent="0.3">
      <c r="A9" s="6" t="s">
        <v>90</v>
      </c>
      <c r="B9" s="7"/>
      <c r="C9" s="8">
        <v>3133.4</v>
      </c>
      <c r="D9" s="8">
        <v>-234.1</v>
      </c>
      <c r="E9" s="8">
        <v>-1023.9</v>
      </c>
    </row>
    <row r="10" spans="1:5" ht="14.4" x14ac:dyDescent="0.3">
      <c r="A10" s="3" t="s">
        <v>91</v>
      </c>
      <c r="B10" s="4"/>
      <c r="C10" s="5">
        <v>175.7</v>
      </c>
      <c r="D10" s="5">
        <v>2070.5</v>
      </c>
      <c r="E10" s="5">
        <v>905.9</v>
      </c>
    </row>
    <row r="11" spans="1:5" ht="14.4" x14ac:dyDescent="0.3">
      <c r="A11" s="6" t="s">
        <v>92</v>
      </c>
      <c r="B11" s="7"/>
      <c r="C11" s="8">
        <v>-172</v>
      </c>
      <c r="D11" s="8">
        <v>3368.1</v>
      </c>
      <c r="E11" s="8">
        <v>-2499.1999999999998</v>
      </c>
    </row>
    <row r="12" spans="1:5" ht="14.4" x14ac:dyDescent="0.3">
      <c r="A12" s="3" t="s">
        <v>93</v>
      </c>
      <c r="B12" s="4"/>
      <c r="C12" s="5">
        <v>1656</v>
      </c>
      <c r="D12" s="5">
        <v>227.1</v>
      </c>
      <c r="E12" s="5">
        <v>1662.3</v>
      </c>
    </row>
    <row r="13" spans="1:5" ht="14.4" x14ac:dyDescent="0.3">
      <c r="A13" s="9" t="s">
        <v>94</v>
      </c>
      <c r="B13" s="10"/>
      <c r="C13" s="11">
        <f t="shared" ref="C13:E13" si="0">C4+SUM(C5:C12)</f>
        <v>64630.2</v>
      </c>
      <c r="D13" s="11">
        <f t="shared" si="0"/>
        <v>121220.3</v>
      </c>
      <c r="E13" s="11">
        <f t="shared" si="0"/>
        <v>126613</v>
      </c>
    </row>
    <row r="14" spans="1:5" ht="6" customHeight="1" x14ac:dyDescent="0.3"/>
    <row r="15" spans="1:5" ht="14.4" x14ac:dyDescent="0.3">
      <c r="A15" s="27" t="s">
        <v>95</v>
      </c>
      <c r="B15" s="24"/>
      <c r="C15" s="24"/>
      <c r="D15" s="24"/>
      <c r="E15" s="25"/>
    </row>
    <row r="16" spans="1:5" ht="14.4" x14ac:dyDescent="0.3">
      <c r="A16" s="3" t="s">
        <v>96</v>
      </c>
      <c r="B16" s="4"/>
      <c r="C16" s="5">
        <v>3069.5</v>
      </c>
      <c r="D16" s="5">
        <v>-12022</v>
      </c>
      <c r="E16" s="5">
        <v>5988.1</v>
      </c>
    </row>
    <row r="17" spans="1:5" ht="14.4" x14ac:dyDescent="0.3">
      <c r="A17" s="6" t="s">
        <v>97</v>
      </c>
      <c r="B17" s="7"/>
      <c r="C17" s="8">
        <v>-13422.6</v>
      </c>
      <c r="D17" s="8">
        <v>-9531.7000000000007</v>
      </c>
      <c r="E17" s="8">
        <v>3528.9</v>
      </c>
    </row>
    <row r="18" spans="1:5" ht="14.4" x14ac:dyDescent="0.3">
      <c r="A18" s="3" t="s">
        <v>98</v>
      </c>
      <c r="B18" s="4"/>
      <c r="C18" s="5">
        <v>141.1</v>
      </c>
      <c r="D18" s="5">
        <v>-2158.1</v>
      </c>
      <c r="E18" s="5">
        <v>-3839</v>
      </c>
    </row>
    <row r="19" spans="1:5" ht="14.4" x14ac:dyDescent="0.3">
      <c r="A19" s="6" t="s">
        <v>99</v>
      </c>
      <c r="B19" s="7"/>
      <c r="C19" s="8">
        <v>3699.2</v>
      </c>
      <c r="D19" s="8">
        <v>11823.7</v>
      </c>
      <c r="E19" s="8">
        <v>2497.1999999999998</v>
      </c>
    </row>
    <row r="20" spans="1:5" ht="14.4" x14ac:dyDescent="0.3">
      <c r="A20" s="3" t="s">
        <v>100</v>
      </c>
      <c r="B20" s="4"/>
      <c r="C20" s="5">
        <v>-23333.5</v>
      </c>
      <c r="D20" s="5">
        <v>-6691.5</v>
      </c>
      <c r="E20" s="5">
        <v>2409.1999999999998</v>
      </c>
    </row>
    <row r="21" spans="1:5" ht="15.75" customHeight="1" x14ac:dyDescent="0.3">
      <c r="A21" s="6" t="s">
        <v>101</v>
      </c>
      <c r="B21" s="7"/>
      <c r="C21" s="8">
        <v>45436.800000000003</v>
      </c>
      <c r="D21" s="8">
        <v>-38038.6</v>
      </c>
      <c r="E21" s="8">
        <v>36.9</v>
      </c>
    </row>
    <row r="22" spans="1:5" ht="15.75" customHeight="1" x14ac:dyDescent="0.3">
      <c r="A22" s="3" t="s">
        <v>102</v>
      </c>
      <c r="B22" s="4"/>
      <c r="C22" s="14">
        <f t="shared" ref="C22:E22" si="1">C13+SUM(C16:C21)</f>
        <v>80220.7</v>
      </c>
      <c r="D22" s="14">
        <f t="shared" si="1"/>
        <v>64602.100000000006</v>
      </c>
      <c r="E22" s="14">
        <f t="shared" si="1"/>
        <v>137234.29999999999</v>
      </c>
    </row>
    <row r="23" spans="1:5" ht="15.75" customHeight="1" x14ac:dyDescent="0.3">
      <c r="A23" s="6" t="s">
        <v>103</v>
      </c>
      <c r="B23" s="7"/>
      <c r="C23" s="8">
        <v>9692.2000000000007</v>
      </c>
      <c r="D23" s="8">
        <v>-15694.4</v>
      </c>
      <c r="E23" s="8">
        <v>-15098.4</v>
      </c>
    </row>
    <row r="24" spans="1:5" ht="15.75" customHeight="1" x14ac:dyDescent="0.3">
      <c r="A24" s="9" t="s">
        <v>104</v>
      </c>
      <c r="B24" s="10"/>
      <c r="C24" s="11">
        <f t="shared" ref="C24:E24" si="2">C22+C23</f>
        <v>89912.9</v>
      </c>
      <c r="D24" s="11">
        <f t="shared" si="2"/>
        <v>48907.700000000004</v>
      </c>
      <c r="E24" s="11">
        <f t="shared" si="2"/>
        <v>122135.9</v>
      </c>
    </row>
    <row r="25" spans="1:5" ht="6" customHeight="1" x14ac:dyDescent="0.3"/>
    <row r="26" spans="1:5" ht="15.75" customHeight="1" x14ac:dyDescent="0.3">
      <c r="A26" s="23" t="s">
        <v>105</v>
      </c>
      <c r="B26" s="24"/>
      <c r="C26" s="24"/>
      <c r="D26" s="24"/>
      <c r="E26" s="25"/>
    </row>
    <row r="27" spans="1:5" ht="15.75" customHeight="1" x14ac:dyDescent="0.3">
      <c r="A27" s="3" t="s">
        <v>106</v>
      </c>
      <c r="B27" s="4"/>
      <c r="C27" s="5">
        <v>-14950.4</v>
      </c>
      <c r="D27" s="5">
        <v>-20855.8</v>
      </c>
      <c r="E27" s="5">
        <v>-22018.1</v>
      </c>
    </row>
    <row r="28" spans="1:5" ht="15.75" customHeight="1" x14ac:dyDescent="0.3">
      <c r="A28" s="6" t="s">
        <v>107</v>
      </c>
      <c r="B28" s="7"/>
      <c r="C28" s="8">
        <v>606.1</v>
      </c>
      <c r="D28" s="8">
        <v>210.1</v>
      </c>
      <c r="E28" s="8">
        <v>308.39999999999998</v>
      </c>
    </row>
    <row r="29" spans="1:5" ht="15.75" customHeight="1" x14ac:dyDescent="0.3">
      <c r="A29" s="3" t="s">
        <v>108</v>
      </c>
      <c r="B29" s="4"/>
      <c r="C29" s="5">
        <v>-34485.4</v>
      </c>
      <c r="D29" s="5">
        <v>-10673.9</v>
      </c>
      <c r="E29" s="5">
        <v>10034.299999999999</v>
      </c>
    </row>
    <row r="30" spans="1:5" ht="15.75" customHeight="1" x14ac:dyDescent="0.3">
      <c r="A30" s="6" t="s">
        <v>109</v>
      </c>
      <c r="B30" s="7"/>
      <c r="C30" s="8">
        <v>-3425.3</v>
      </c>
      <c r="D30" s="8">
        <v>-5762.3</v>
      </c>
      <c r="E30" s="8">
        <v>-709.8</v>
      </c>
    </row>
    <row r="31" spans="1:5" ht="15.75" customHeight="1" x14ac:dyDescent="0.3">
      <c r="A31" s="3" t="s">
        <v>110</v>
      </c>
      <c r="B31" s="4"/>
      <c r="C31" s="5">
        <v>-7395.7</v>
      </c>
      <c r="D31" s="5">
        <v>-46858.2</v>
      </c>
      <c r="E31" s="5">
        <v>-1433.2</v>
      </c>
    </row>
    <row r="32" spans="1:5" ht="15.75" customHeight="1" x14ac:dyDescent="0.3">
      <c r="A32" s="6" t="s">
        <v>111</v>
      </c>
      <c r="B32" s="7"/>
      <c r="C32" s="8">
        <v>763</v>
      </c>
      <c r="D32" s="8">
        <v>3179.3</v>
      </c>
      <c r="E32" s="8">
        <v>6132</v>
      </c>
    </row>
    <row r="33" spans="1:5" ht="15.75" customHeight="1" x14ac:dyDescent="0.3">
      <c r="A33" s="3" t="s">
        <v>112</v>
      </c>
      <c r="B33" s="4"/>
      <c r="C33" s="5">
        <v>1338.3</v>
      </c>
      <c r="D33" s="5">
        <v>1324</v>
      </c>
      <c r="E33" s="5">
        <v>991.4</v>
      </c>
    </row>
    <row r="34" spans="1:5" ht="15.75" customHeight="1" x14ac:dyDescent="0.3">
      <c r="A34" s="9" t="s">
        <v>113</v>
      </c>
      <c r="B34" s="10"/>
      <c r="C34" s="11">
        <f t="shared" ref="C34:E34" si="3">SUM(C27:C33)</f>
        <v>-57549.399999999994</v>
      </c>
      <c r="D34" s="11">
        <f t="shared" si="3"/>
        <v>-79436.800000000003</v>
      </c>
      <c r="E34" s="11">
        <f t="shared" si="3"/>
        <v>-6694.9999999999982</v>
      </c>
    </row>
    <row r="35" spans="1:5" ht="6" customHeight="1" x14ac:dyDescent="0.3"/>
    <row r="36" spans="1:5" ht="15.75" customHeight="1" x14ac:dyDescent="0.3">
      <c r="A36" s="23" t="s">
        <v>114</v>
      </c>
      <c r="B36" s="24"/>
      <c r="C36" s="24"/>
      <c r="D36" s="24"/>
      <c r="E36" s="25"/>
    </row>
    <row r="37" spans="1:5" ht="15.75" customHeight="1" x14ac:dyDescent="0.3">
      <c r="A37" s="3" t="s">
        <v>115</v>
      </c>
      <c r="B37" s="4"/>
      <c r="C37" s="5">
        <v>16567.7</v>
      </c>
      <c r="D37" s="5">
        <v>81597.8</v>
      </c>
      <c r="E37" s="5">
        <v>45726.5</v>
      </c>
    </row>
    <row r="38" spans="1:5" ht="15.75" customHeight="1" x14ac:dyDescent="0.3">
      <c r="A38" s="6" t="s">
        <v>116</v>
      </c>
      <c r="B38" s="7"/>
      <c r="C38" s="8">
        <v>-43999</v>
      </c>
      <c r="D38" s="8">
        <v>-28996.3</v>
      </c>
      <c r="E38" s="8">
        <v>-81055.899999999994</v>
      </c>
    </row>
    <row r="39" spans="1:5" ht="15.75" customHeight="1" x14ac:dyDescent="0.3">
      <c r="A39" s="3" t="s">
        <v>117</v>
      </c>
      <c r="B39" s="4"/>
      <c r="C39" s="5">
        <v>-1286.5</v>
      </c>
      <c r="D39" s="5">
        <v>-1013.8</v>
      </c>
      <c r="E39" s="5">
        <v>-1231</v>
      </c>
    </row>
    <row r="40" spans="1:5" ht="15.75" customHeight="1" x14ac:dyDescent="0.3">
      <c r="A40" s="6" t="s">
        <v>118</v>
      </c>
      <c r="B40" s="7"/>
      <c r="C40" s="8">
        <v>-1857</v>
      </c>
      <c r="D40" s="8">
        <v>0</v>
      </c>
      <c r="E40" s="8">
        <v>-773.9</v>
      </c>
    </row>
    <row r="41" spans="1:5" ht="15.75" customHeight="1" x14ac:dyDescent="0.3">
      <c r="A41" s="3" t="s">
        <v>119</v>
      </c>
      <c r="B41" s="4"/>
      <c r="C41" s="5">
        <v>1064.2</v>
      </c>
      <c r="D41" s="5">
        <v>-1304.9000000000001</v>
      </c>
      <c r="E41" s="5">
        <v>1430.1</v>
      </c>
    </row>
    <row r="42" spans="1:5" ht="15.75" customHeight="1" x14ac:dyDescent="0.3">
      <c r="A42" s="6" t="s">
        <v>120</v>
      </c>
      <c r="B42" s="7"/>
      <c r="C42" s="8">
        <v>-732.1</v>
      </c>
      <c r="D42" s="8">
        <v>-1324.8</v>
      </c>
      <c r="E42" s="8">
        <v>-2190.3000000000002</v>
      </c>
    </row>
    <row r="43" spans="1:5" ht="15.75" customHeight="1" x14ac:dyDescent="0.3">
      <c r="A43" s="3" t="s">
        <v>121</v>
      </c>
      <c r="B43" s="4"/>
      <c r="C43" s="5">
        <v>-21691.9</v>
      </c>
      <c r="D43" s="5">
        <v>-25197.3</v>
      </c>
      <c r="E43" s="5">
        <v>-29007.1</v>
      </c>
    </row>
    <row r="44" spans="1:5" ht="15.75" customHeight="1" x14ac:dyDescent="0.3">
      <c r="A44" s="9" t="s">
        <v>122</v>
      </c>
      <c r="B44" s="10"/>
      <c r="C44" s="11">
        <f t="shared" ref="C44:E44" si="4">SUM(C37:C43)</f>
        <v>-51934.6</v>
      </c>
      <c r="D44" s="11">
        <f t="shared" si="4"/>
        <v>23760.699999999993</v>
      </c>
      <c r="E44" s="11">
        <f t="shared" si="4"/>
        <v>-67101.600000000006</v>
      </c>
    </row>
    <row r="45" spans="1:5" ht="6" customHeight="1" x14ac:dyDescent="0.3"/>
    <row r="46" spans="1:5" ht="15.75" customHeight="1" x14ac:dyDescent="0.3">
      <c r="A46" s="23" t="s">
        <v>123</v>
      </c>
      <c r="B46" s="24"/>
      <c r="C46" s="24"/>
      <c r="D46" s="24"/>
      <c r="E46" s="25"/>
    </row>
    <row r="47" spans="1:5" ht="15.75" customHeight="1" x14ac:dyDescent="0.3">
      <c r="A47" s="9" t="s">
        <v>124</v>
      </c>
      <c r="B47" s="10"/>
      <c r="C47" s="11">
        <f t="shared" ref="C47:E47" si="5">C24+C34+C44</f>
        <v>-19571.099999999999</v>
      </c>
      <c r="D47" s="11">
        <f t="shared" si="5"/>
        <v>-6768.4000000000051</v>
      </c>
      <c r="E47" s="11">
        <f t="shared" si="5"/>
        <v>48339.299999999988</v>
      </c>
    </row>
    <row r="48" spans="1:5" ht="15.75" customHeight="1" x14ac:dyDescent="0.3">
      <c r="A48" s="3" t="s">
        <v>125</v>
      </c>
      <c r="B48" s="4"/>
      <c r="C48" s="5">
        <v>62730.3</v>
      </c>
      <c r="D48" s="5">
        <v>45082.5</v>
      </c>
      <c r="E48" s="5">
        <v>46237.3</v>
      </c>
    </row>
    <row r="49" spans="1:5" ht="15.75" customHeight="1" x14ac:dyDescent="0.3">
      <c r="A49" s="6" t="s">
        <v>126</v>
      </c>
      <c r="B49" s="7"/>
      <c r="C49" s="8">
        <v>1274.3</v>
      </c>
      <c r="D49" s="8">
        <v>1570.7</v>
      </c>
      <c r="E49" s="8">
        <v>5927</v>
      </c>
    </row>
    <row r="50" spans="1:5" ht="15.75" customHeight="1" x14ac:dyDescent="0.3">
      <c r="A50" s="9" t="s">
        <v>127</v>
      </c>
      <c r="B50" s="10"/>
      <c r="C50" s="11">
        <f t="shared" ref="C50:E50" si="6">C48+C47+C49</f>
        <v>44433.500000000007</v>
      </c>
      <c r="D50" s="11">
        <f t="shared" si="6"/>
        <v>39884.799999999988</v>
      </c>
      <c r="E50" s="11">
        <f t="shared" si="6"/>
        <v>100503.59999999999</v>
      </c>
    </row>
    <row r="51" spans="1:5" ht="6" customHeight="1" x14ac:dyDescent="0.3"/>
    <row r="52" spans="1:5" ht="15.75" customHeight="1" x14ac:dyDescent="0.3">
      <c r="A52" s="23" t="s">
        <v>128</v>
      </c>
      <c r="B52" s="24"/>
      <c r="C52" s="24"/>
      <c r="D52" s="24"/>
      <c r="E52" s="25"/>
    </row>
    <row r="53" spans="1:5" ht="15.75" customHeight="1" x14ac:dyDescent="0.3">
      <c r="A53" s="3" t="s">
        <v>129</v>
      </c>
      <c r="B53" s="4"/>
      <c r="C53" s="5">
        <v>89845.4</v>
      </c>
      <c r="D53" s="5">
        <v>49593.3</v>
      </c>
      <c r="E53" s="5">
        <v>121349.8</v>
      </c>
    </row>
    <row r="54" spans="1:5" ht="15.75" customHeight="1" x14ac:dyDescent="0.3">
      <c r="A54" s="6" t="s">
        <v>130</v>
      </c>
      <c r="B54" s="7"/>
      <c r="C54" s="8">
        <v>32727.3</v>
      </c>
      <c r="D54" s="8">
        <v>84735.8</v>
      </c>
      <c r="E54" s="8">
        <v>95763.8</v>
      </c>
    </row>
    <row r="55" spans="1:5" ht="15.75" customHeight="1" x14ac:dyDescent="0.3">
      <c r="A55" s="3" t="s">
        <v>131</v>
      </c>
      <c r="B55" s="4"/>
      <c r="C55" s="15">
        <f t="shared" ref="C55:E55" si="7">C53/C54</f>
        <v>2.745273823382925</v>
      </c>
      <c r="D55" s="15">
        <f t="shared" si="7"/>
        <v>0.5852697443111412</v>
      </c>
      <c r="E55" s="15">
        <f t="shared" si="7"/>
        <v>1.2671782030370558</v>
      </c>
    </row>
    <row r="56" spans="1:5" ht="6" customHeight="1" x14ac:dyDescent="0.3"/>
    <row r="57" spans="1:5" ht="15.75" customHeight="1" x14ac:dyDescent="0.3">
      <c r="A57" s="26"/>
      <c r="B57" s="22"/>
      <c r="C57" s="22"/>
      <c r="D57" s="22"/>
      <c r="E57" s="22"/>
    </row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8">
    <mergeCell ref="A46:E46"/>
    <mergeCell ref="A52:E52"/>
    <mergeCell ref="A57:E57"/>
    <mergeCell ref="A1:E1"/>
    <mergeCell ref="A3:E3"/>
    <mergeCell ref="A15:E15"/>
    <mergeCell ref="A26:E26"/>
    <mergeCell ref="A36:E36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6" sqref="A26:E26"/>
    </sheetView>
  </sheetViews>
  <sheetFormatPr defaultColWidth="11.21875" defaultRowHeight="15" customHeight="1" x14ac:dyDescent="0.3"/>
  <cols>
    <col min="1" max="1" width="2.33203125" customWidth="1"/>
    <col min="2" max="2" width="32.6640625" customWidth="1"/>
    <col min="3" max="5" width="12.44140625" customWidth="1"/>
    <col min="6" max="11" width="6.77734375" customWidth="1"/>
  </cols>
  <sheetData>
    <row r="1" spans="1:5" ht="27.75" customHeight="1" x14ac:dyDescent="0.3">
      <c r="A1" s="21" t="s">
        <v>132</v>
      </c>
      <c r="B1" s="22"/>
      <c r="C1" s="22"/>
      <c r="D1" s="22"/>
      <c r="E1" s="22"/>
    </row>
    <row r="2" spans="1:5" ht="19.5" customHeight="1" x14ac:dyDescent="0.3">
      <c r="A2" s="1"/>
      <c r="B2" s="2"/>
      <c r="C2" s="2" t="s">
        <v>1</v>
      </c>
      <c r="D2" s="2" t="s">
        <v>2</v>
      </c>
      <c r="E2" s="2" t="s">
        <v>3</v>
      </c>
    </row>
    <row r="3" spans="1:5" ht="14.4" x14ac:dyDescent="0.3">
      <c r="A3" s="23" t="s">
        <v>133</v>
      </c>
      <c r="B3" s="24"/>
      <c r="C3" s="24"/>
      <c r="D3" s="24"/>
      <c r="E3" s="25"/>
    </row>
    <row r="4" spans="1:5" ht="14.4" x14ac:dyDescent="0.3">
      <c r="A4" s="3" t="s">
        <v>134</v>
      </c>
      <c r="B4" s="4"/>
      <c r="C4" s="15">
        <f>'Balance Sheet'!C26/'Balance Sheet'!C52</f>
        <v>1.8854686995800098</v>
      </c>
      <c r="D4" s="15">
        <f>'Balance Sheet'!D26/'Balance Sheet'!D52</f>
        <v>2.0024705647134233</v>
      </c>
      <c r="E4" s="15">
        <f>'Balance Sheet'!E26/'Balance Sheet'!E52</f>
        <v>2.5573303218307828</v>
      </c>
    </row>
    <row r="5" spans="1:5" ht="14.4" x14ac:dyDescent="0.3">
      <c r="A5" s="6" t="s">
        <v>135</v>
      </c>
      <c r="B5" s="7"/>
      <c r="C5" s="16">
        <f>'Cash Flow Statement'!C53/'Balance Sheet'!C52</f>
        <v>0.55646884017532916</v>
      </c>
      <c r="D5" s="16">
        <f>'Cash Flow Statement'!D53/'Balance Sheet'!D52</f>
        <v>0.24913269012246325</v>
      </c>
      <c r="E5" s="16">
        <f>'Cash Flow Statement'!E53/'Balance Sheet'!E52</f>
        <v>0.71450449458512444</v>
      </c>
    </row>
    <row r="6" spans="1:5" ht="6" customHeight="1" x14ac:dyDescent="0.3"/>
    <row r="7" spans="1:5" ht="14.4" x14ac:dyDescent="0.3">
      <c r="A7" s="23" t="s">
        <v>136</v>
      </c>
      <c r="B7" s="24"/>
      <c r="C7" s="24"/>
      <c r="D7" s="24"/>
      <c r="E7" s="25"/>
    </row>
    <row r="8" spans="1:5" ht="14.4" x14ac:dyDescent="0.3">
      <c r="A8" s="3" t="s">
        <v>137</v>
      </c>
      <c r="B8" s="4"/>
      <c r="C8" s="15">
        <f>('Balance Sheet'!C37+'Balance Sheet'!C45)/'Balance Sheet'!C34</f>
        <v>7.1210632696191559E-2</v>
      </c>
      <c r="D8" s="15">
        <f>('Balance Sheet'!D37+'Balance Sheet'!D45)/'Balance Sheet'!D34</f>
        <v>0.10449011025285646</v>
      </c>
      <c r="E8" s="15">
        <f>('Balance Sheet'!E37+'Balance Sheet'!E45)/'Balance Sheet'!E34</f>
        <v>4.2405914108685112E-2</v>
      </c>
    </row>
    <row r="9" spans="1:5" ht="14.4" x14ac:dyDescent="0.3">
      <c r="A9" s="6" t="s">
        <v>138</v>
      </c>
      <c r="B9" s="7"/>
      <c r="C9" s="16">
        <f>'Income Statement'!C22/'Income Statement'!C15</f>
        <v>71.049391440910867</v>
      </c>
      <c r="D9" s="16">
        <f>'Income Statement'!D22/'Income Statement'!D15</f>
        <v>55.696976744186045</v>
      </c>
      <c r="E9" s="16">
        <f>'Income Statement'!E22/'Income Statement'!E15</f>
        <v>48.568834654254211</v>
      </c>
    </row>
    <row r="10" spans="1:5" ht="6" customHeight="1" x14ac:dyDescent="0.3"/>
    <row r="11" spans="1:5" ht="14.4" x14ac:dyDescent="0.3">
      <c r="A11" s="23" t="s">
        <v>139</v>
      </c>
      <c r="B11" s="24"/>
      <c r="C11" s="24"/>
      <c r="D11" s="24"/>
      <c r="E11" s="25"/>
    </row>
    <row r="12" spans="1:5" ht="14.4" x14ac:dyDescent="0.3">
      <c r="A12" s="3" t="s">
        <v>140</v>
      </c>
      <c r="B12" s="4"/>
      <c r="C12" s="12">
        <f>'Income Statement'!C29/'Balance Sheet'!C34</f>
        <v>6.6142709059428859E-2</v>
      </c>
      <c r="D12" s="12">
        <f>'Income Statement'!D29/'Balance Sheet'!D34</f>
        <v>0.14285615540094346</v>
      </c>
      <c r="E12" s="12">
        <f>'Income Statement'!E29/'Balance Sheet'!E34</f>
        <v>0.14270533605281319</v>
      </c>
    </row>
    <row r="13" spans="1:5" ht="14.4" x14ac:dyDescent="0.3">
      <c r="A13" s="6" t="s">
        <v>141</v>
      </c>
      <c r="B13" s="7"/>
      <c r="C13" s="17">
        <f>'Balance Sheet'!C18/('Income Statement'!C11+'Income Statement'!C12+'Income Statement'!C13)*365</f>
        <v>317.23900984781011</v>
      </c>
      <c r="D13" s="17">
        <f>'Balance Sheet'!D18/('Income Statement'!D11+'Income Statement'!D12+'Income Statement'!D13)*365</f>
        <v>359.89548553013651</v>
      </c>
      <c r="E13" s="17">
        <f>'Balance Sheet'!E18/('Income Statement'!E11+'Income Statement'!E12+'Income Statement'!E13)*365</f>
        <v>337.80902143096296</v>
      </c>
    </row>
    <row r="14" spans="1:5" ht="14.4" x14ac:dyDescent="0.3">
      <c r="A14" s="3" t="s">
        <v>142</v>
      </c>
      <c r="B14" s="4"/>
      <c r="C14" s="18">
        <f>'Balance Sheet'!C20/'Income Statement'!C6*365</f>
        <v>85.563436485644999</v>
      </c>
      <c r="D14" s="18">
        <f>'Balance Sheet'!D20/'Income Statement'!D6*365</f>
        <v>95.134817325378123</v>
      </c>
      <c r="E14" s="18">
        <f>'Balance Sheet'!E20/'Income Statement'!E6*365</f>
        <v>84.665706123181195</v>
      </c>
    </row>
    <row r="15" spans="1:5" ht="14.4" x14ac:dyDescent="0.3">
      <c r="A15" s="6" t="s">
        <v>143</v>
      </c>
      <c r="B15" s="7"/>
      <c r="C15" s="17">
        <f>'Balance Sheet'!C47/('Income Statement'!C11+'Income Statement'!C12+'Income Statement'!C13)*365</f>
        <v>140.11305564196246</v>
      </c>
      <c r="D15" s="17">
        <f>'Balance Sheet'!D47/('Income Statement'!D11+'Income Statement'!D12+'Income Statement'!D13)*365</f>
        <v>194.49668735040555</v>
      </c>
      <c r="E15" s="17">
        <f>'Balance Sheet'!E47/('Income Statement'!E11+'Income Statement'!E12+'Income Statement'!E13)*365</f>
        <v>193.52245838495452</v>
      </c>
    </row>
    <row r="16" spans="1:5" ht="14.4" x14ac:dyDescent="0.3">
      <c r="A16" s="9" t="s">
        <v>144</v>
      </c>
      <c r="B16" s="10"/>
      <c r="C16" s="19">
        <f t="shared" ref="C16:E16" si="0">C13+C14-C15</f>
        <v>262.68939069149269</v>
      </c>
      <c r="D16" s="19">
        <f t="shared" si="0"/>
        <v>260.53361550510908</v>
      </c>
      <c r="E16" s="19">
        <f t="shared" si="0"/>
        <v>228.95226916918961</v>
      </c>
    </row>
    <row r="17" spans="1:5" ht="6" customHeight="1" x14ac:dyDescent="0.3"/>
    <row r="18" spans="1:5" ht="14.4" x14ac:dyDescent="0.3">
      <c r="A18" s="27" t="s">
        <v>145</v>
      </c>
      <c r="B18" s="24"/>
      <c r="C18" s="24"/>
      <c r="D18" s="24"/>
      <c r="E18" s="25"/>
    </row>
    <row r="19" spans="1:5" ht="14.4" x14ac:dyDescent="0.3">
      <c r="A19" s="3" t="s">
        <v>146</v>
      </c>
      <c r="B19" s="4"/>
      <c r="C19" s="14">
        <f>'Income Statement'!C6</f>
        <v>386544.9</v>
      </c>
      <c r="D19" s="14">
        <f>'Income Statement'!D6</f>
        <v>438856.8</v>
      </c>
      <c r="E19" s="14">
        <f>'Income Statement'!E6</f>
        <v>484968.5</v>
      </c>
    </row>
    <row r="20" spans="1:5" ht="14.4" x14ac:dyDescent="0.3">
      <c r="A20" s="6" t="s">
        <v>147</v>
      </c>
      <c r="B20" s="7"/>
      <c r="C20" s="20">
        <f>'Income Statement'!C22</f>
        <v>90481.4</v>
      </c>
      <c r="D20" s="20">
        <f>'Income Statement'!D22</f>
        <v>95798.8</v>
      </c>
      <c r="E20" s="20">
        <f>'Income Statement'!E22</f>
        <v>115822.1</v>
      </c>
    </row>
    <row r="21" spans="1:5" ht="15.75" customHeight="1" x14ac:dyDescent="0.3">
      <c r="A21" s="3" t="s">
        <v>148</v>
      </c>
      <c r="B21" s="4"/>
      <c r="C21" s="14">
        <f>'Income Statement'!C29</f>
        <v>32727.299999999996</v>
      </c>
      <c r="D21" s="14">
        <f>'Income Statement'!D29</f>
        <v>84735.8</v>
      </c>
      <c r="E21" s="14">
        <f>'Income Statement'!E29</f>
        <v>95763.799999999988</v>
      </c>
    </row>
    <row r="22" spans="1:5" ht="15.75" customHeight="1" x14ac:dyDescent="0.3">
      <c r="A22" s="6" t="s">
        <v>149</v>
      </c>
      <c r="B22" s="7"/>
      <c r="C22" s="20">
        <f>'Cash Flow Statement'!C53</f>
        <v>89845.4</v>
      </c>
      <c r="D22" s="20">
        <f>'Cash Flow Statement'!D53</f>
        <v>49593.3</v>
      </c>
      <c r="E22" s="20">
        <f>'Cash Flow Statement'!E53</f>
        <v>121349.8</v>
      </c>
    </row>
    <row r="23" spans="1:5" ht="15.75" customHeight="1" x14ac:dyDescent="0.3">
      <c r="A23" s="3" t="s">
        <v>150</v>
      </c>
      <c r="B23" s="4"/>
      <c r="C23" s="14">
        <f>'Balance Sheet'!C34</f>
        <v>494798.3</v>
      </c>
      <c r="D23" s="14">
        <f>'Balance Sheet'!D34</f>
        <v>593154.70000000007</v>
      </c>
      <c r="E23" s="14">
        <f>'Balance Sheet'!E34</f>
        <v>671059.69999999995</v>
      </c>
    </row>
    <row r="24" spans="1:5" ht="15.75" customHeight="1" x14ac:dyDescent="0.3">
      <c r="A24" s="6" t="s">
        <v>151</v>
      </c>
      <c r="B24" s="7"/>
      <c r="C24" s="20">
        <f>'Balance Sheet'!C37+'Balance Sheet'!C45</f>
        <v>35234.9</v>
      </c>
      <c r="D24" s="20">
        <f>'Balance Sheet'!D37+'Balance Sheet'!D45</f>
        <v>61978.8</v>
      </c>
      <c r="E24" s="20">
        <f>'Balance Sheet'!E37+'Balance Sheet'!E45</f>
        <v>28456.899999999998</v>
      </c>
    </row>
    <row r="25" spans="1:5" ht="6" customHeight="1" x14ac:dyDescent="0.3"/>
    <row r="26" spans="1:5" ht="15.75" customHeight="1" x14ac:dyDescent="0.3">
      <c r="A26" s="26"/>
      <c r="B26" s="22"/>
      <c r="C26" s="22"/>
      <c r="D26" s="22"/>
      <c r="E26" s="22"/>
    </row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6">
    <mergeCell ref="A26:E26"/>
    <mergeCell ref="A1:E1"/>
    <mergeCell ref="A3:E3"/>
    <mergeCell ref="A7:E7"/>
    <mergeCell ref="A11:E11"/>
    <mergeCell ref="A18:E1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Financial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jyotpatel2605@outlook.com</cp:lastModifiedBy>
  <cp:revision>0</cp:revision>
  <dcterms:created xsi:type="dcterms:W3CDTF">2026-06-25T11:37:31Z</dcterms:created>
  <dcterms:modified xsi:type="dcterms:W3CDTF">2026-07-07T13:07:43Z</dcterms:modified>
  <dc:language>en-US</dc:language>
</cp:coreProperties>
</file>